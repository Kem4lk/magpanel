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Kesim karşılaştırma" sheetId="2" state="visible" r:id="rId2"/>
    <sheet name="Delme makinesi v0" sheetId="3" state="visible" r:id="rId3"/>
    <sheet name="BOM" sheetId="4" state="visible" r:id="rId4"/>
    <sheet name="Alternatifler" sheetId="5" state="visible" r:id="rId5"/>
    <sheet name="Yurt dışı" sheetId="6" state="visible" r:id="rId6"/>
    <sheet name="Uyarılar" sheetId="7" state="visible" r:id="rId7"/>
  </sheets>
  <definedNames>
    <definedName name="_xlnm._FilterDatabase" localSheetId="3" hidden="1">'BOM'!$A$1:$M$80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otorobit.com/cnc3018-15000mw-lazerli-cnc-makinesi-kesim-tezga" TargetMode="External" Id="rId1" /><Relationship Type="http://schemas.openxmlformats.org/officeDocument/2006/relationships/hyperlink" Target="https://www.direnc.net/drnc-3025-masaustu-cnc-ve-lazer-makinesi" TargetMode="External" Id="rId2" /><Relationship Type="http://schemas.openxmlformats.org/officeDocument/2006/relationships/hyperlink" Target="https://www.robotistan.com/creality-falcon-a1-lazer-gravur-ve-kesici-10w" TargetMode="External" Id="rId3" /><Relationship Type="http://schemas.openxmlformats.org/officeDocument/2006/relationships/hyperlink" Target="https://www.makinaturkiye.com/40w-co2-lazer-kase-makinesi-p-172299" TargetMode="External" Id="rId4" /><Relationship Type="http://schemas.openxmlformats.org/officeDocument/2006/relationships/hyperlink" Target="https://roboyek.com/urun/roboyek-20w-fiber-lazer-markalama-makinasi/" TargetMode="External" Id="rId5" /><Relationship Type="http://schemas.openxmlformats.org/officeDocument/2006/relationships/hyperlink" Target="https://www.aykalazer.com/uv-lazer-markalama-makinasi-jpt-5w-ada" TargetMode="External" Id="rId6" /><Relationship Type="http://schemas.openxmlformats.org/officeDocument/2006/relationships/hyperlink" Target="https://www.grupelektronik.com/urun/300mw-405nm-mor-otesi-ultraviole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obitshop.com/urun/28-byj-48-reduktorlu-step-motor-ve-uln2003-step-motor-surucu-karti-mavi" TargetMode="External" Id="rId1" /><Relationship Type="http://schemas.openxmlformats.org/officeDocument/2006/relationships/hyperlink" Target="https://www.motorobit.com/3d-yazici-icin-rulman-lm8uu" TargetMode="External" Id="rId2" /><Relationship Type="http://schemas.openxmlformats.org/officeDocument/2006/relationships/hyperlink" Target="https://www.motorobit.com/8mm-induksiyonlu-mil-krom-kapli-300mm" TargetMode="External" Id="rId3" /><Relationship Type="http://schemas.openxmlformats.org/officeDocument/2006/relationships/hyperlink" Target="https://www.direnc.net/gt2-zamanlama-kayisi-6mm-2-metre" TargetMode="External" Id="rId4" /><Relationship Type="http://schemas.openxmlformats.org/officeDocument/2006/relationships/hyperlink" Target="https://www.motorobit.com/gt2-dissiz-3mm-rulmanli-kasnak" TargetMode="External" Id="rId5" /><Relationship Type="http://schemas.openxmlformats.org/officeDocument/2006/relationships/hyperlink" Target="https://www.robitshop.com/urun/rs775-dc-motor-rulmanli-12v-3000-rpm-sarjli-matkap-motoru" TargetMode="External" Id="rId6" /><Relationship Type="http://schemas.openxmlformats.org/officeDocument/2006/relationships/hyperlink" Target="https://www.motorobit.com/el-matkabi-mandren-seti-5mm" TargetMode="External" Id="rId7" /><Relationship Type="http://schemas.openxmlformats.org/officeDocument/2006/relationships/hyperlink" Target="https://www.motorobit.com/3d-yazici-vidali-mil-somun-400mm-40-cm-t8-8mm" TargetMode="External" Id="rId8" /><Relationship Type="http://schemas.openxmlformats.org/officeDocument/2006/relationships/hyperlink" Target="https://www.motorobit.com/aluminyum-sabit-kaplin-5x8mm" TargetMode="External" Id="rId9" /><Relationship Type="http://schemas.openxmlformats.org/officeDocument/2006/relationships/hyperlink" Target="https://www.motorobit.com/dm1-00p-130g-mikro-switch" TargetMode="External" Id="rId10" /><Relationship Type="http://schemas.openxmlformats.org/officeDocument/2006/relationships/hyperlink" Target="https://www.motorobit.com/12v-3a-adaptor-gs-p120300e553" TargetMode="External" Id="rId11" /><Relationship Type="http://schemas.openxmlformats.org/officeDocument/2006/relationships/hyperlink" Target="https://www.robotistan.com/5v-3a-voltaj-regulator-karti-lm2596-5v" TargetMode="External" Id="rId12" /><Relationship Type="http://schemas.openxmlformats.org/officeDocument/2006/relationships/hyperlink" Target="https://www.robotistan.com/15a-400w-pwm-kontrollu-mosfet-anahtarlama-karti" TargetMode="External" Id="rId13" /><Relationship Type="http://schemas.openxmlformats.org/officeDocument/2006/relationships/hyperlink" Target="https://www.direnc.net/m3-15mm-ysb-20-adet" TargetMode="External" Id="rId14" /><Relationship Type="http://schemas.openxmlformats.org/officeDocument/2006/relationships/hyperlink" Target="https://www.motorobit.com/pcb-matkap-ucu-seti-03-1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ptusdisplay.com/products/6-6-inch-4k-4098x2560-mono-lcd-display" TargetMode="External" Id="rId1" /><Relationship Type="http://schemas.openxmlformats.org/officeDocument/2006/relationships/hyperlink" Target="https://www.aptusdisplay.com/products/6-6-inch-4k-4098x2560-mono-lcd-display" TargetMode="External" Id="rId2" /><Relationship Type="http://schemas.openxmlformats.org/officeDocument/2006/relationships/hyperlink" Target="https://www.robotistan.com/raspberry-pi-5-8gb" TargetMode="External" Id="rId3" /><Relationship Type="http://schemas.openxmlformats.org/officeDocument/2006/relationships/hyperlink" Target="https://store.3dream.com.tr/products/anycubic-uv-led-modulu" TargetMode="External" Id="rId4" /><Relationship Type="http://schemas.openxmlformats.org/officeDocument/2006/relationships/hyperlink" Target="https://store.3dream.com.tr/products/anycubic-fresnel-lens" TargetMode="External" Id="rId5" /><Relationship Type="http://schemas.openxmlformats.org/officeDocument/2006/relationships/hyperlink" Target="https://www.robo90.com/anycubic-ekran-koruyucu-5-adet-mono-m7m7-pro" TargetMode="External" Id="rId6" /><Relationship Type="http://schemas.openxmlformats.org/officeDocument/2006/relationships/hyperlink" Target="https://www.direnc.net/xl4015-display-dc-dc-power-modul" TargetMode="External" Id="rId7" /><Relationship Type="http://schemas.openxmlformats.org/officeDocument/2006/relationships/hyperlink" Target="https://www.motorobit.com/50w-cob-led-aluminyum-sogutucu-60-derece-lens-kablo-seti" TargetMode="External" Id="rId8" /><Relationship Type="http://schemas.openxmlformats.org/officeDocument/2006/relationships/hyperlink" Target="https://www.motorobit.com/92x92x25mm-12v-026a-fan-3-kablolu-sari" TargetMode="External" Id="rId9" /><Relationship Type="http://schemas.openxmlformats.org/officeDocument/2006/relationships/hyperlink" Target="https://www.motorobit.com/ds18b20-m10-dijital-sicaklik-sensoru-1-metre" TargetMode="External" Id="rId10" /><Relationship Type="http://schemas.openxmlformats.org/officeDocument/2006/relationships/hyperlink" Target="https://www.koctas.com.tr/univet-5x7030004-turuncu-lensli-gozluk/p/5000208517" TargetMode="External" Id="rId11" /><Relationship Type="http://schemas.openxmlformats.org/officeDocument/2006/relationships/hyperlink" Target="https://www.hepsiburada.com/teknotrust-3-mm-akrilik-pleksi-levha-seffaf-kalinlik-tum-ebatlar-icin-gecerlidir-pm-HBC00008CFKNV" TargetMode="External" Id="rId12" /><Relationship Type="http://schemas.openxmlformats.org/officeDocument/2006/relationships/hyperlink" Target="https://www.cnc-marketi.com/urun/lineer-kizak-15-mm-lineer-kizak-fiyatlari" TargetMode="External" Id="rId13" /><Relationship Type="http://schemas.openxmlformats.org/officeDocument/2006/relationships/hyperlink" Target="https://www.cnc-marketi.com/urun/15-mm-dar-lineer-kizak-arabasi-17737367412859" TargetMode="External" Id="rId14" /><Relationship Type="http://schemas.openxmlformats.org/officeDocument/2006/relationships/hyperlink" Target="https://www.ileri3d.com/urun/sfu-1204-tornalanmis-mil-ve-vidali-somun-350mm" TargetMode="External" Id="rId15" /><Relationship Type="http://schemas.openxmlformats.org/officeDocument/2006/relationships/hyperlink" Target="https://www.cnc-marketi.com/urun/bk-10-vidali-mil-uc-yataklari" TargetMode="External" Id="rId16" /><Relationship Type="http://schemas.openxmlformats.org/officeDocument/2006/relationships/hyperlink" Target="https://www.cnc-marketi.com/urun/bf-10-vidali-mil-uc-yataklari-8mm" TargetMode="External" Id="rId17" /><Relationship Type="http://schemas.openxmlformats.org/officeDocument/2006/relationships/hyperlink" Target="https://www.ileri3d.com/urun/somun-govdesi" TargetMode="External" Id="rId18" /><Relationship Type="http://schemas.openxmlformats.org/officeDocument/2006/relationships/hyperlink" Target="https://www.motorobit.com/aluminyum-sabit-kaplin-5x8mm" TargetMode="External" Id="rId19" /><Relationship Type="http://schemas.openxmlformats.org/officeDocument/2006/relationships/hyperlink" Target="https://www.cnc-marketi.com/urun/0-47-nm-step-motor-nema-17" TargetMode="External" Id="rId20" /><Relationship Type="http://schemas.openxmlformats.org/officeDocument/2006/relationships/hyperlink" Target="https://www.rhino3dprinter.com/urun/mks-tmc5160-pro-step-motor-surucusu" TargetMode="External" Id="rId21" /><Relationship Type="http://schemas.openxmlformats.org/officeDocument/2006/relationships/hyperlink" Target="https://www.f1depo.com/urun/0-4-kw-spindle-motor-er11-bracket-tutma-aparati" TargetMode="External" Id="rId22" /><Relationship Type="http://schemas.openxmlformats.org/officeDocument/2006/relationships/hyperlink" Target="https://www.direnc.net/24v-165a-metal-switch-mod-adaptor" TargetMode="External" Id="rId23" /><Relationship Type="http://schemas.openxmlformats.org/officeDocument/2006/relationships/hyperlink" Target="https://www.motorobit.com/er11-3175mm-pens-18" TargetMode="External" Id="rId24" /><Relationship Type="http://schemas.openxmlformats.org/officeDocument/2006/relationships/hyperlink" Target="https://www.motorobit.com/pcb-matkap-ucu-seti-03-1" TargetMode="External" Id="rId25" /><Relationship Type="http://schemas.openxmlformats.org/officeDocument/2006/relationships/hyperlink" Target="https://www.motorobit.com/elmas-freze-matkap-ucu-160mm-x-11mm" TargetMode="External" Id="rId26" /><Relationship Type="http://schemas.openxmlformats.org/officeDocument/2006/relationships/hyperlink" Target="https://www.cnc-marketi.com/urun/sigma-profil-40x40-sigma-profil-8-kanal" TargetMode="External" Id="rId27" /><Relationship Type="http://schemas.openxmlformats.org/officeDocument/2006/relationships/hyperlink" Target="https://www.cnc-marketi.com/urun/genis-kose-baglanti-40x40-k8" TargetMode="External" Id="rId28" /><Relationship Type="http://schemas.openxmlformats.org/officeDocument/2006/relationships/hyperlink" Target="https://www.cnc-marketi.com/urun/t-kanal-somunu-m5-30x30-k8" TargetMode="External" Id="rId29" /><Relationship Type="http://schemas.openxmlformats.org/officeDocument/2006/relationships/hyperlink" Target="https://www.direnc.net/enduktif-npn-proximity-sensor-lj12a3-4-zbx" TargetMode="External" Id="rId30" /><Relationship Type="http://schemas.openxmlformats.org/officeDocument/2006/relationships/hyperlink" Target="https://www.meonotomasyon.com/urun/cnc-takim-sifirlama-probu" TargetMode="External" Id="rId31" /><Relationship Type="http://schemas.openxmlformats.org/officeDocument/2006/relationships/hyperlink" Target="https://tr.rsdelivers.com/product/rs-pro//rs-pro-duz-tespit-pimi-cap-3mm-20mm-celik/0270568" TargetMode="External" Id="rId32" /><Relationship Type="http://schemas.openxmlformats.org/officeDocument/2006/relationships/hyperlink" Target="https://www.ikea.com.tr/urun/ikea-365--plastik-4-2-lt-kapakli-plastik-saklama-kabi-59276822" TargetMode="External" Id="rId33" /><Relationship Type="http://schemas.openxmlformats.org/officeDocument/2006/relationships/hyperlink" Target="https://www.evcilal.com/urun/newa-therm-50-w" TargetMode="External" Id="rId34" /><Relationship Type="http://schemas.openxmlformats.org/officeDocument/2006/relationships/hyperlink" Target="https://www.mixpet.com.tr/sobo-cift-cikisli-akvaryum-hava-motoru-5w-2x4lt/dak-sb-666a" TargetMode="External" Id="rId35" /><Relationship Type="http://schemas.openxmlformats.org/officeDocument/2006/relationships/hyperlink" Target="https://www.bademakvaryum.com/akvaryum-hava-hortumu-silikonlu-5-metre-1199" TargetMode="External" Id="rId36" /><Relationship Type="http://schemas.openxmlformats.org/officeDocument/2006/relationships/hyperlink" Target="https://www.bademakvaryum.com/akvaryum-cek-valf-hava-hortum-aparati-385" TargetMode="External" Id="rId37" /><Relationship Type="http://schemas.openxmlformats.org/officeDocument/2006/relationships/hyperlink" Target="https://www.bademakvaryum.com/akvaryum-hava-tasi-duz-15-cm-630" TargetMode="External" Id="rId38" /><Relationship Type="http://schemas.openxmlformats.org/officeDocument/2006/relationships/hyperlink" Target="https://www.havuzdan.com/urun/seko-dozaj-pompasi-orp-elektrodu-1-5-mt-kabloluwf-sk" TargetMode="External" Id="rId39" /><Relationship Type="http://schemas.openxmlformats.org/officeDocument/2006/relationships/hyperlink" Target="https://www.robotistan.com/ads1115-16-bit-4-kanal-adc" TargetMode="External" Id="rId40" /><Relationship Type="http://schemas.openxmlformats.org/officeDocument/2006/relationships/hyperlink" Target="https://www.robotistan.com/12-v-peristaltik-sivi-pompasi-bpt-tup-nkp-dc-b08d" TargetMode="External" Id="rId41" /><Relationship Type="http://schemas.openxmlformats.org/officeDocument/2006/relationships/hyperlink" Target="https://www.robotistan.com/su-gecirmez-ds18b20-dijital-isi-sensoru" TargetMode="External" Id="rId42" /><Relationship Type="http://schemas.openxmlformats.org/officeDocument/2006/relationships/hyperlink" Target="https://ehammaddem.com/products/hidroklorik-asit-tuz-ruhu-1-kg" TargetMode="External" Id="rId43" /><Relationship Type="http://schemas.openxmlformats.org/officeDocument/2006/relationships/hyperlink" Target="https://ehammaddem.com/products/hidrojen-peroksit-perhidrol-50-1-litre" TargetMode="External" Id="rId44" /><Relationship Type="http://schemas.openxmlformats.org/officeDocument/2006/relationships/hyperlink" Target="https://ehammaddem.com/products/sodyum-hidroksit-boncuk-kostik-1-kg" TargetMode="External" Id="rId45" /><Relationship Type="http://schemas.openxmlformats.org/officeDocument/2006/relationships/hyperlink" Target="https://ehammaddem.com/products/sodyum-karbonat-toz-camasir-sodasi-1-kg" TargetMode="External" Id="rId46" /><Relationship Type="http://schemas.openxmlformats.org/officeDocument/2006/relationships/hyperlink" Target="https://www.kimyaciniz.com/aseton-1-lt" TargetMode="External" Id="rId47" /><Relationship Type="http://schemas.openxmlformats.org/officeDocument/2006/relationships/hyperlink" Target="https://www.kimyaciniz.com/distile-saf-su-0-00-0-02-ppm-5-lt" TargetMode="External" Id="rId48" /><Relationship Type="http://schemas.openxmlformats.org/officeDocument/2006/relationships/hyperlink" Target="https://www.motorobit.com/positiv-20-baski-devre-pozlama-spreyi-200ml" TargetMode="External" Id="rId49" /><Relationship Type="http://schemas.openxmlformats.org/officeDocument/2006/relationships/hyperlink" Target="https://www.robotistan.com/20x20-bakir-plaket-fr4" TargetMode="External" Id="rId50" /><Relationship Type="http://schemas.openxmlformats.org/officeDocument/2006/relationships/hyperlink" Target="https://www.robotistan.com/20x20-cift-yuzlu-bakir-plaket-fr4-epoksi" TargetMode="External" Id="rId51" /><Relationship Type="http://schemas.openxmlformats.org/officeDocument/2006/relationships/hyperlink" Target="https://www.entegresafety.com/urun/nitril-eldiven-22" TargetMode="External" Id="rId52" /><Relationship Type="http://schemas.openxmlformats.org/officeDocument/2006/relationships/hyperlink" Target="https://www.entegresafety.com/urun/3m-2890-goggle-koruyucu-gozluk-clear-as-af" TargetMode="External" Id="rId53" /><Relationship Type="http://schemas.openxmlformats.org/officeDocument/2006/relationships/hyperlink" Target="https://www.blabmarket.com/urun/asit-ve-kimyasal-onlugu-kimyasallara-dayanikli-pvc-onluk-su-gecrmez-is-guvenligi-onlugu-unisex-tam-boy-onluk" TargetMode="External" Id="rId54" /><Relationship Type="http://schemas.openxmlformats.org/officeDocument/2006/relationships/hyperlink" Target="https://www.derkimlab.com/urun/isolab-bidon-hdpe-3-lt" TargetMode="External" Id="rId55" /><Relationship Type="http://schemas.openxmlformats.org/officeDocument/2006/relationships/hyperlink" Target="https://www.robotistan.com/max6675-k-type-termokupl-sensor" TargetMode="External" Id="rId56" /><Relationship Type="http://schemas.openxmlformats.org/officeDocument/2006/relationships/hyperlink" Target="https://www.motorobit.com/k-tip-0-800c-m6-termokupl-50cm" TargetMode="External" Id="rId57" /><Relationship Type="http://schemas.openxmlformats.org/officeDocument/2006/relationships/hyperlink" Target="https://www.direnc.net/ssr-40da--40a-solid-state-role" TargetMode="External" Id="rId58" /><Relationship Type="http://schemas.openxmlformats.org/officeDocument/2006/relationships/hyperlink" Target="https://www.motorobit.com/i-50-ssr-10-40a-role-uyumlu-sogutucu" TargetMode="External" Id="rId59" /><Relationship Type="http://schemas.openxmlformats.org/officeDocument/2006/relationships/hyperlink" Target="https://www.motorobit.com/tassol-krem-lehim-50gr-sn63-pb37" TargetMode="External" Id="rId60" /><Relationship Type="http://schemas.openxmlformats.org/officeDocument/2006/relationships/hyperlink" Target="https://www.robotistan.com/kurtel-ra-50-recineli-flux-kalemi-10cc" TargetMode="External" Id="rId61" /><Relationship Type="http://schemas.openxmlformats.org/officeDocument/2006/relationships/hyperlink" Target="https://www.direnc.net/fa-400-esd-guvenli-duman-emici-ve-5-adet-aktif-karbon-filtre" TargetMode="External" Id="rId62" /><Relationship Type="http://schemas.openxmlformats.org/officeDocument/2006/relationships/hyperlink" Target="https://www.direnc.net/esp32-s3-n16r8-wifi-bluetooth-board" TargetMode="External" Id="rId63" /><Relationship Type="http://schemas.openxmlformats.org/officeDocument/2006/relationships/hyperlink" Target="https://www.motorobit.com/hightek-24v-15a-metal-kasa-adaptor-led-driver" TargetMode="External" Id="rId64" /><Relationship Type="http://schemas.openxmlformats.org/officeDocument/2006/relationships/hyperlink" Target="https://www.direnc.net/12v-85a-kapali-tip-switch-mode-adaptor" TargetMode="External" Id="rId65" /><Relationship Type="http://schemas.openxmlformats.org/officeDocument/2006/relationships/hyperlink" Target="https://www.motorobit.com/hcw-p715-9-36vtan-5va-5a-voltaj-dusurucu-regulator-karti" TargetMode="External" Id="rId66" /><Relationship Type="http://schemas.openxmlformats.org/officeDocument/2006/relationships/hyperlink" Target="https://www.robotistan.com/15a-400w-pwm-kontrollu-mosfet-anahtarlama-karti" TargetMode="External" Id="rId67" /><Relationship Type="http://schemas.openxmlformats.org/officeDocument/2006/relationships/hyperlink" Target="https://www.direnc.net/5v-4-kanal-role-karti" TargetMode="External" Id="rId68" /><Relationship Type="http://schemas.openxmlformats.org/officeDocument/2006/relationships/hyperlink" Target="https://www.robotistan.com/28-inc-arduino-dokunmatik-ekran-shield-240320" TargetMode="External" Id="rId69" /><Relationship Type="http://schemas.openxmlformats.org/officeDocument/2006/relationships/hyperlink" Target="https://www.motorobit.com/gx-16-4-pin-su-gecirmez-mike-konnektor" TargetMode="External" Id="rId70" /><Relationship Type="http://schemas.openxmlformats.org/officeDocument/2006/relationships/hyperlink" Target="https://www.robotistan.com/xh-2-54mm-konnektor-kablo-seti" TargetMode="External" Id="rId71" /><Relationship Type="http://schemas.openxmlformats.org/officeDocument/2006/relationships/hyperlink" Target="https://www.motorobit.com/18-awg-silikon-kablo-siyah-1-metre" TargetMode="External" Id="rId72" /><Relationship Type="http://schemas.openxmlformats.org/officeDocument/2006/relationships/hyperlink" Target="https://www.motorobit.com/20awg-silikon-cok-damarli-montaj-kablosu-seti-6-renk-60m" TargetMode="External" Id="rId73" /><Relationship Type="http://schemas.openxmlformats.org/officeDocument/2006/relationships/hyperlink" Target="https://www.motorobit.com/dc-099-55x21mm-metal-dc-jack-sasesi-jak-girisi" TargetMode="External" Id="rId74" /><Relationship Type="http://schemas.openxmlformats.org/officeDocument/2006/relationships/hyperlink" Target="https://www.motorobit.com/5x20-panel-tipi-sigorta-yuvasi" TargetMode="External" Id="rId75" /><Relationship Type="http://schemas.openxmlformats.org/officeDocument/2006/relationships/hyperlink" Target="https://www.motorobit.com/5k-t315a-5x20mm-gecikmeli-cam-sigorta" TargetMode="External" Id="rId76" /><Relationship Type="http://schemas.openxmlformats.org/officeDocument/2006/relationships/hyperlink" Target="https://www.motorobit.com/mantar-basli-acil-stop-butonu-1no1nc-anahtarli-lift-reset" TargetMode="External" Id="rId77" /><Relationship Type="http://schemas.openxmlformats.org/officeDocument/2006/relationships/hyperlink" Target="https://www.motorobit.com/emi-filtre-6a-anahtarli-erkek-power-soketi-sigorta-yuvali" TargetMode="External" Id="rId7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aptusdisplay.com/products/10-3-inch-8k-7680x4320-mipi-50pin-mono-lcd-screen" TargetMode="External" Id="rId1" /><Relationship Type="http://schemas.openxmlformats.org/officeDocument/2006/relationships/hyperlink" Target="https://store.3dream.com.tr/products/phrozen-lcd-ekran" TargetMode="External" Id="rId2" /><Relationship Type="http://schemas.openxmlformats.org/officeDocument/2006/relationships/hyperlink" Target="https://www.motorobit.com/esp32-p4-nano-yuksek-performansli-gelistirme-karti" TargetMode="External" Id="rId3" /><Relationship Type="http://schemas.openxmlformats.org/officeDocument/2006/relationships/hyperlink" Target="https://www.robotistan.com/raspberry-pi-compute-module-cm5002016" TargetMode="External" Id="rId4" /><Relationship Type="http://schemas.openxmlformats.org/officeDocument/2006/relationships/hyperlink" Target="https://www.motorobit.com/80x80x54mm-sogutuculu-fan-islemci-fani" TargetMode="External" Id="rId5" /><Relationship Type="http://schemas.openxmlformats.org/officeDocument/2006/relationships/hyperlink" Target="https://www.motorobit.com/cnc3018-15000mw-lazerli-cnc-makinesi-kesim-tezga" TargetMode="External" Id="rId6" /><Relationship Type="http://schemas.openxmlformats.org/officeDocument/2006/relationships/hyperlink" Target="https://www.motorobit.com/cnc3018-pro-max-15000mw-lazerli-cnc-makinesi-kesim-tezgahi" TargetMode="External" Id="rId7" /><Relationship Type="http://schemas.openxmlformats.org/officeDocument/2006/relationships/hyperlink" Target="https://www.direnc.net/drnc-3025-masaustu-cnc-ve-lazer-makinesi" TargetMode="External" Id="rId8" /><Relationship Type="http://schemas.openxmlformats.org/officeDocument/2006/relationships/hyperlink" Target="https://www.robotistan.com/cnc3018-masaustu-cnc-makinesi" TargetMode="External" Id="rId9" /><Relationship Type="http://schemas.openxmlformats.org/officeDocument/2006/relationships/hyperlink" Target="https://www.motorobit.com/mgn12-lineer-ray-kizak-400mm-mgn12h-bilyali-rulm" TargetMode="External" Id="rId10" /><Relationship Type="http://schemas.openxmlformats.org/officeDocument/2006/relationships/hyperlink" Target="https://www.cnc-marketi.com/urun/vidali-mil-1605-vidali-mil" TargetMode="External" Id="rId11" /><Relationship Type="http://schemas.openxmlformats.org/officeDocument/2006/relationships/hyperlink" Target="https://www.motorobit.com/tmc2209-v20-step-motor-surucusu" TargetMode="External" Id="rId12" /><Relationship Type="http://schemas.openxmlformats.org/officeDocument/2006/relationships/hyperlink" Target="https://store.3dream.com.tr/products/elegoo-lcd-ekran-saturn-8k-10-8k-saturn-2" TargetMode="External" Id="rId13" /><Relationship Type="http://schemas.openxmlformats.org/officeDocument/2006/relationships/hyperlink" Target="https://store.3dream.com.tr/collections/yedek-parca-anycubic" TargetMode="External" Id="rId14" /><Relationship Type="http://schemas.openxmlformats.org/officeDocument/2006/relationships/hyperlink" Target="https://www.robotistan.com/waveshare-esp32p4pico-riscv-gelistirme-karti" TargetMode="External" Id="rId15" /><Relationship Type="http://schemas.openxmlformats.org/officeDocument/2006/relationships/hyperlink" Target="https://www.roboshop.com.tr/3w-power-led-uv-mor-395-400nm" TargetMode="External" Id="rId16" /><Relationship Type="http://schemas.openxmlformats.org/officeDocument/2006/relationships/hyperlink" Target="https://www.robotistan.com/sunline-958-havya-istasyonu" TargetMode="External" Id="rId17" /><Relationship Type="http://schemas.openxmlformats.org/officeDocument/2006/relationships/hyperlink" Target="https://www.amazon.com.tr/Nofaner-istasyonu-elektrikli-lehimleme-d%C3%BCzenlemesi/dp/B0B7BG89KB" TargetMode="External" Id="rId18" /><Relationship Type="http://schemas.openxmlformats.org/officeDocument/2006/relationships/hyperlink" Target="https://www.kimyaciniz.com/demir-3-klorur-sivi-1-kg" TargetMode="External" Id="rId19" /><Relationship Type="http://schemas.openxmlformats.org/officeDocument/2006/relationships/hyperlink" Target="https://www.kimyadepom.com/urun/sodyum-persulfat-25-kg-torba" TargetMode="External" Id="rId20" /><Relationship Type="http://schemas.openxmlformats.org/officeDocument/2006/relationships/hyperlink" Target="https://shop.interlab.com.tr/urun/orp-probu-olcum-cihazlari-icin" TargetMode="External" Id="rId21" /><Relationship Type="http://schemas.openxmlformats.org/officeDocument/2006/relationships/hyperlink" Target="https://www.hepsiburada.com/mechanic-mt-uvh900-ly-uv-isikla-sertlesen-solder-mask-devre-yalitim-boyasi-lehim-maskesi-10cc-yesil-pm-HBC0000FVNW47" TargetMode="External" Id="rId22" /><Relationship Type="http://schemas.openxmlformats.org/officeDocument/2006/relationships/hyperlink" Target="https://www.n11.com/urun/devre-uretim-icin-kuru-film-fotoresist-carsaf-duzleme-islemi-30cm-x-5m-pcb-podiksiyatler-kuru-film-dogruluk-deneyimli-film-79346576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4" customWidth="1" min="4" max="4"/>
  </cols>
  <sheetData>
    <row r="1" ht="30" customHeight="1">
      <c r="A1" s="1" t="inlineStr">
        <is>
          <t>Modül</t>
        </is>
      </c>
      <c r="B1" s="1" t="inlineStr">
        <is>
          <t>Kalem sayısı</t>
        </is>
      </c>
      <c r="C1" s="1" t="inlineStr">
        <is>
          <t>Fiyatı bilinmeyen</t>
        </is>
      </c>
      <c r="D1" s="1" t="inlineStr">
        <is>
          <t>Toplam (TL, KDV dahil)</t>
        </is>
      </c>
    </row>
    <row r="2">
      <c r="A2" s="2" t="inlineStr">
        <is>
          <t>1 Pozlama</t>
        </is>
      </c>
      <c r="B2" s="2">
        <f>COUNTIF(BOM!B2:B80,A2)</f>
        <v/>
      </c>
      <c r="C2" s="2">
        <f>COUNTIFS(BOM!B2:B80,A2,BOM!G2:G80,"")</f>
        <v/>
      </c>
      <c r="D2" s="3">
        <f>SUMIF(BOM!B2:B80,A2,BOM!H2:H80)</f>
        <v/>
      </c>
    </row>
    <row r="3">
      <c r="A3" s="2" t="inlineStr">
        <is>
          <t>2 CNC portal</t>
        </is>
      </c>
      <c r="B3" s="2">
        <f>COUNTIF(BOM!B2:B80,A3)</f>
        <v/>
      </c>
      <c r="C3" s="2">
        <f>COUNTIFS(BOM!B2:B80,A3,BOM!G2:G80,"")</f>
        <v/>
      </c>
      <c r="D3" s="3">
        <f>SUMIF(BOM!B2:B80,A3,BOM!H2:H80)</f>
        <v/>
      </c>
    </row>
    <row r="4">
      <c r="A4" s="2" t="inlineStr">
        <is>
          <t>3 Islak istasyon</t>
        </is>
      </c>
      <c r="B4" s="2">
        <f>COUNTIF(BOM!B2:B80,A4)</f>
        <v/>
      </c>
      <c r="C4" s="2">
        <f>COUNTIFS(BOM!B2:B80,A4,BOM!G2:G80,"")</f>
        <v/>
      </c>
      <c r="D4" s="3">
        <f>SUMIF(BOM!B2:B80,A4,BOM!H2:H80)</f>
        <v/>
      </c>
    </row>
    <row r="5">
      <c r="A5" s="2" t="inlineStr">
        <is>
          <t>4 Hot plate</t>
        </is>
      </c>
      <c r="B5" s="2">
        <f>COUNTIF(BOM!B2:B80,A5)</f>
        <v/>
      </c>
      <c r="C5" s="2">
        <f>COUNTIFS(BOM!B2:B80,A5,BOM!G2:G80,"")</f>
        <v/>
      </c>
      <c r="D5" s="3">
        <f>SUMIF(BOM!B2:B80,A5,BOM!H2:H80)</f>
        <v/>
      </c>
    </row>
    <row r="6">
      <c r="A6" s="2" t="inlineStr">
        <is>
          <t>5 Elektronik</t>
        </is>
      </c>
      <c r="B6" s="2">
        <f>COUNTIF(BOM!B2:B80,A6)</f>
        <v/>
      </c>
      <c r="C6" s="2">
        <f>COUNTIFS(BOM!B2:B80,A6,BOM!G2:G80,"")</f>
        <v/>
      </c>
      <c r="D6" s="3">
        <f>SUMIF(BOM!B2:B80,A6,BOM!H2:H80)</f>
        <v/>
      </c>
    </row>
    <row r="7">
      <c r="A7" s="4" t="inlineStr">
        <is>
          <t>TOPLAM</t>
        </is>
      </c>
      <c r="B7" s="4">
        <f>SUM(B2:B6)</f>
        <v/>
      </c>
      <c r="C7" s="4">
        <f>SUM(C2:C6)</f>
        <v/>
      </c>
      <c r="D7" s="5">
        <f>SUM(D2:D6)</f>
        <v/>
      </c>
    </row>
    <row r="9">
      <c r="A9" t="inlineStr">
        <is>
          <t>PCB üretim makinesi, prototip v0. Fiyatlar 2026-10-04, Türkiye satıcıları. Kaynak: bom_v0.py</t>
        </is>
      </c>
    </row>
    <row r="10">
      <c r="A10" t="inlineStr">
        <is>
          <t>CNC: ana liste özel yapım (ray + bilyalı vida). Hazır kitler "Alternatifler" sayfasında.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  <col width="30" customWidth="1" min="4" max="4"/>
    <col width="36" customWidth="1" min="5" max="5"/>
    <col width="30" customWidth="1" min="6" max="6"/>
    <col width="26" customWidth="1" min="7" max="7"/>
    <col width="32" customWidth="1" min="8" max="8"/>
    <col width="32" customWidth="1" min="9" max="9"/>
    <col width="26" customWidth="1" min="10" max="10"/>
  </cols>
  <sheetData>
    <row r="1" ht="30" customHeight="1">
      <c r="A1" s="1" t="inlineStr">
        <is>
          <t>Yöntem</t>
        </is>
      </c>
      <c r="B1" s="1" t="inlineStr">
        <is>
          <t>Örnek makine</t>
        </is>
      </c>
      <c r="C1" s="1" t="inlineStr">
        <is>
          <t>Fiyat (TL)</t>
        </is>
      </c>
      <c r="D1" s="1" t="inlineStr">
        <is>
          <t>Fiyat notu</t>
        </is>
      </c>
      <c r="E1" s="1" t="inlineStr">
        <is>
          <t>Link</t>
        </is>
      </c>
      <c r="F1" s="1" t="inlineStr">
        <is>
          <t>FR4 kesim</t>
        </is>
      </c>
      <c r="G1" s="1" t="inlineStr">
        <is>
          <t>Delik</t>
        </is>
      </c>
      <c r="H1" s="1" t="inlineStr">
        <is>
          <t>Bakır işleme</t>
        </is>
      </c>
      <c r="I1" s="1" t="inlineStr">
        <is>
          <t>Dezavantaj</t>
        </is>
      </c>
      <c r="J1" s="1" t="inlineStr">
        <is>
          <t>Karar</t>
        </is>
      </c>
    </row>
    <row r="2">
      <c r="A2" s="6" t="inlineStr">
        <is>
          <t>CNC freze (ER11 mil)</t>
        </is>
      </c>
      <c r="B2" s="6" t="inlineStr">
        <is>
          <t>Kendi yapım portal (bu BOM, CNC modülü)</t>
        </is>
      </c>
      <c r="C2" s="3" t="n">
        <v>37854.21</v>
      </c>
      <c r="D2" s="6" t="inlineStr">
        <is>
          <t>BOM toplamı (pim, plaka hariç)</t>
        </is>
      </c>
      <c r="E2" s="2" t="inlineStr"/>
      <c r="F2" s="6" t="inlineStr">
        <is>
          <t>Temiz: 1,6–2,4 mm mısır koçanı freze</t>
        </is>
      </c>
      <c r="G2" s="6" t="inlineStr">
        <is>
          <t>Evet, 0,3–3 mm, düz ve temiz</t>
        </is>
      </c>
      <c r="H2" s="6" t="inlineStr">
        <is>
          <t>İzolasyon frezesi yapılabilir (yavaş)</t>
        </is>
      </c>
      <c r="I2" s="6" t="inlineStr">
        <is>
          <t>Cam elyaf tozu: vakum/emiş şart; uç aşınması (sarf)</t>
        </is>
      </c>
      <c r="J2" s="7" t="inlineStr">
        <is>
          <t>SEÇİLEN: kesim + delme</t>
        </is>
      </c>
    </row>
    <row r="3">
      <c r="A3" s="6" t="inlineStr">
        <is>
          <t>CNC freze (hazır kit)</t>
        </is>
      </c>
      <c r="B3" s="6" t="inlineStr">
        <is>
          <t>CNC3018 lazerli kit (775 mil, T-vida, ±0,1 mm)</t>
        </is>
      </c>
      <c r="C3" s="3" t="n">
        <v>26700</v>
      </c>
      <c r="D3" s="6" t="inlineStr">
        <is>
          <t>Motorobit, stokta</t>
        </is>
      </c>
      <c r="E3" s="8" t="inlineStr">
        <is>
          <t>https://www.motorobit.com/cnc3018-15000mw-lazerli-cnc-makinesi-kesim-tezga</t>
        </is>
      </c>
      <c r="F3" s="6" t="inlineStr">
        <is>
          <t>Temiz, ama salgı ve boşluk yüksek</t>
        </is>
      </c>
      <c r="G3" s="6" t="inlineStr">
        <is>
          <t>Evet; 0,6 mm altı uç kırılır</t>
        </is>
      </c>
      <c r="H3" s="6" t="inlineStr">
        <is>
          <t>Sınırlı</t>
        </is>
      </c>
      <c r="I3" s="6" t="inlineStr">
        <is>
          <t>GRBL (GPL), ±0,1 mm</t>
        </is>
      </c>
      <c r="J3" s="6" t="inlineStr">
        <is>
          <t>Yalnız v0 denemesi</t>
        </is>
      </c>
    </row>
    <row r="4">
      <c r="A4" s="6" t="inlineStr">
        <is>
          <t>CNC freze (hazır, rayli)</t>
        </is>
      </c>
      <c r="B4" s="6" t="inlineStr">
        <is>
          <t>DRNC 3025 (bilyalı vida + 15 mm ray, 600 W ER11)</t>
        </is>
      </c>
      <c r="C4" s="3" t="n">
        <v>104611.61</v>
      </c>
      <c r="D4" s="6" t="inlineStr">
        <is>
          <t>Direnc, stokta (1)</t>
        </is>
      </c>
      <c r="E4" s="8" t="inlineStr">
        <is>
          <t>https://www.direnc.net/drnc-3025-masaustu-cnc-ve-lazer-makinesi</t>
        </is>
      </c>
      <c r="F4" s="6" t="inlineStr">
        <is>
          <t>Temiz</t>
        </is>
      </c>
      <c r="G4" s="6" t="inlineStr">
        <is>
          <t>Evet</t>
        </is>
      </c>
      <c r="H4" s="6" t="inlineStr">
        <is>
          <t>Evet</t>
        </is>
      </c>
      <c r="I4" s="6" t="inlineStr">
        <is>
          <t>Pahalı; kapalı yazılım ürüne girmez</t>
        </is>
      </c>
      <c r="J4" s="6" t="inlineStr">
        <is>
          <t>Referans/ölçüm makinesi olabilir</t>
        </is>
      </c>
    </row>
    <row r="5">
      <c r="A5" s="6" t="inlineStr">
        <is>
          <t>Diyot lazer 10–40 W (455 nm)</t>
        </is>
      </c>
      <c r="B5" s="6" t="inlineStr">
        <is>
          <t>Creality Falcon A1 10 W / Falcon2 Pro 40 W</t>
        </is>
      </c>
      <c r="C5" s="3" t="n">
        <v>28382.64</v>
      </c>
      <c r="D5" s="6" t="inlineStr">
        <is>
          <t>10 W Robotistan stokta; 40 W 85.147,91</t>
        </is>
      </c>
      <c r="E5" s="8" t="inlineStr">
        <is>
          <t>https://www.robotistan.com/creality-falcon-a1-lazer-gravur-ve-kesici-10w</t>
        </is>
      </c>
      <c r="F5" s="6" t="inlineStr">
        <is>
          <t>HAYIR: cam elyaf mavi ışığı emmez, epoksi kömürleşir</t>
        </is>
      </c>
      <c r="G5" s="6" t="inlineStr">
        <is>
          <t>Hayır</t>
        </is>
      </c>
      <c r="H5" s="6" t="inlineStr">
        <is>
          <t>Bakıra işlemez; boya/lak maskesi yakılabilir (boya+lazer+aşındırma)</t>
        </is>
      </c>
      <c r="I5" s="6" t="inlineStr">
        <is>
          <t>FR4 yanınca bromlu zehirli duman</t>
        </is>
      </c>
      <c r="J5" s="6" t="inlineStr">
        <is>
          <t>Kesim için uygun değil</t>
        </is>
      </c>
    </row>
    <row r="6">
      <c r="A6" s="6" t="inlineStr">
        <is>
          <t>CO2 lazer 40–55 W (10,6 µm)</t>
        </is>
      </c>
      <c r="B6" s="6" t="inlineStr">
        <is>
          <t>K40 tipi 40 W (ABP/Xenon) … xTool P2S 55 W</t>
        </is>
      </c>
      <c r="C6" s="3" t="n"/>
      <c r="D6" s="6" t="inlineStr">
        <is>
          <t>900–2.350 $ + KDV (K40); P2S 239–463 bin TL</t>
        </is>
      </c>
      <c r="E6" s="8" t="inlineStr">
        <is>
          <t>https://www.makinaturkiye.com/40w-co2-lazer-kase-makinesi-p-172299</t>
        </is>
      </c>
      <c r="F6" s="6" t="inlineStr">
        <is>
          <t>Kötü: kenar kömürleşir (iletken olabilir), cam erir</t>
        </is>
      </c>
      <c r="G6" s="6" t="inlineStr">
        <is>
          <t>Kötü (konik, kömürlü)</t>
        </is>
      </c>
      <c r="H6" s="6" t="inlineStr">
        <is>
          <t>Hayır: bakır 10,6 µm'yi yansıtır</t>
        </is>
      </c>
      <c r="I6" s="6" t="inlineStr">
        <is>
          <t>Zehirli duman, kenar kalitesi</t>
        </is>
      </c>
      <c r="J6" s="6" t="inlineStr">
        <is>
          <t>Uygun değil</t>
        </is>
      </c>
    </row>
    <row r="7">
      <c r="A7" s="6" t="inlineStr">
        <is>
          <t>Fiber lazer 20–50 W (1064 nm, galvo)</t>
        </is>
      </c>
      <c r="B7" s="6" t="inlineStr">
        <is>
          <t>Roboyek 20 W Raycus, 300x300 mm</t>
        </is>
      </c>
      <c r="C7" s="3" t="n">
        <v>122000</v>
      </c>
      <c r="D7" s="6" t="inlineStr">
        <is>
          <t>30 W 150.000; 50 W 190.000 (KDV belirtilmemiş)</t>
        </is>
      </c>
      <c r="E7" s="8" t="inlineStr">
        <is>
          <t>https://roboyek.com/urun/roboyek-20w-fiber-lazer-markalama-makinasi/</t>
        </is>
      </c>
      <c r="F7" s="6" t="inlineStr">
        <is>
          <t>Çok paso ile mümkün ama yavaş ve kömürlü</t>
        </is>
      </c>
      <c r="G7" s="6" t="inlineStr">
        <is>
          <t>Zor (çok paso, konik)</t>
        </is>
      </c>
      <c r="H7" s="6" t="inlineStr">
        <is>
          <t>EVET: bakırı doğrudan söker (kimyasalsız izolasyon)</t>
        </is>
      </c>
      <c r="I7" s="6" t="inlineStr">
        <is>
          <t>Pahalı, Sınıf 4, duman filtresi, galvo alanı sınırlı</t>
        </is>
      </c>
      <c r="J7" s="6" t="inlineStr">
        <is>
          <t>v2: kimyasalsız izolasyon için değerlendirilebilir</t>
        </is>
      </c>
    </row>
    <row r="8">
      <c r="A8" s="6" t="inlineStr">
        <is>
          <t>UV lazer 5 W (355 nm)</t>
        </is>
      </c>
      <c r="B8" s="6" t="inlineStr">
        <is>
          <t>Ayka JPT 5 W, 100x100 mm</t>
        </is>
      </c>
      <c r="C8" s="3" t="n">
        <v>382653.96</v>
      </c>
      <c r="D8" s="6" t="inlineStr">
        <is>
          <t>KDV dahil, stokta</t>
        </is>
      </c>
      <c r="E8" s="8" t="inlineStr">
        <is>
          <t>https://www.aykalazer.com/uv-lazer-markalama-makinasi-jpt-5w-ada</t>
        </is>
      </c>
      <c r="F8" s="6" t="inlineStr">
        <is>
          <t>Temiz ("soğuk" kesim), ama 1,6 mm'de yavaş</t>
        </is>
      </c>
      <c r="G8" s="6" t="inlineStr">
        <is>
          <t>İnce mikro-delik iyi; büyük delik yavaş</t>
        </is>
      </c>
      <c r="H8" s="6" t="inlineStr">
        <is>
          <t>Evet, en temiz</t>
        </is>
      </c>
      <c r="I8" s="6" t="inlineStr">
        <is>
          <t>Çok pahalı; sanayide ayırma (depaneling) için</t>
        </is>
      </c>
      <c r="J8" s="6" t="inlineStr">
        <is>
          <t>Ürün maliyetine uymaz</t>
        </is>
      </c>
    </row>
    <row r="9">
      <c r="A9" s="6" t="inlineStr">
        <is>
          <t>405 nm düşük güç lazer (pozlama)</t>
        </is>
      </c>
      <c r="B9" s="6" t="inlineStr">
        <is>
          <t>KALE 300 mW 405 nm modül</t>
        </is>
      </c>
      <c r="C9" s="3" t="n">
        <v>7476.47</v>
      </c>
      <c r="D9" s="6" t="inlineStr">
        <is>
          <t>Grup Elektronik, 1 adet</t>
        </is>
      </c>
      <c r="E9" s="8" t="inlineStr">
        <is>
          <t>https://www.grupelektronik.com/urun/300mw-405nm-mor-otesi-ultraviole</t>
        </is>
      </c>
      <c r="F9" s="6" t="inlineStr">
        <is>
          <t>Hayır</t>
        </is>
      </c>
      <c r="G9" s="6" t="inlineStr">
        <is>
          <t>Hayır</t>
        </is>
      </c>
      <c r="H9" s="6" t="inlineStr">
        <is>
          <t>Yalnız lak/dry film pozlar (doğrudan lazer pozlama)</t>
        </is>
      </c>
      <c r="I9" s="6" t="inlineStr">
        <is>
          <t>Yavaş tarama</t>
        </is>
      </c>
      <c r="J9" s="6" t="inlineStr">
        <is>
          <t>LCD yolunun yedeği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7" customWidth="1" min="3" max="3"/>
    <col width="14" customWidth="1" min="4" max="4"/>
    <col width="14" customWidth="1" min="5" max="5"/>
    <col width="14" customWidth="1" min="6" max="6"/>
    <col width="40" customWidth="1" min="7" max="7"/>
    <col width="12" customWidth="1" min="8" max="8"/>
    <col width="11" customWidth="1" min="9" max="9"/>
    <col width="56" customWidth="1" min="10" max="10"/>
  </cols>
  <sheetData>
    <row r="1" ht="30" customHeight="1">
      <c r="A1" s="1" t="inlineStr">
        <is>
          <t>Kalem</t>
        </is>
      </c>
      <c r="B1" s="1" t="inlineStr">
        <is>
          <t>Özellik</t>
        </is>
      </c>
      <c r="C1" s="1" t="inlineStr">
        <is>
          <t>Adet</t>
        </is>
      </c>
      <c r="D1" s="1" t="inlineStr">
        <is>
          <t>Birim fiyat (TL)</t>
        </is>
      </c>
      <c r="E1" s="1" t="inlineStr">
        <is>
          <t>Toplam (TL)</t>
        </is>
      </c>
      <c r="F1" s="1" t="inlineStr">
        <is>
          <t>Satıcı</t>
        </is>
      </c>
      <c r="G1" s="1" t="inlineStr">
        <is>
          <t>Link</t>
        </is>
      </c>
      <c r="H1" s="1" t="inlineStr">
        <is>
          <t>Stok</t>
        </is>
      </c>
      <c r="I1" s="1" t="inlineStr">
        <is>
          <t>Doğrulandı</t>
        </is>
      </c>
      <c r="J1" s="1" t="inlineStr">
        <is>
          <t>Not</t>
        </is>
      </c>
    </row>
    <row r="2">
      <c r="A2" s="6" t="inlineStr">
        <is>
          <t>28BYJ-48 5 V + ULN2003</t>
        </is>
      </c>
      <c r="B2" s="6" t="inlineStr">
        <is>
          <t>X, Y, Z eksenleri</t>
        </is>
      </c>
      <c r="C2" s="2" t="n">
        <v>3</v>
      </c>
      <c r="D2" s="3" t="n">
        <v>54.05</v>
      </c>
      <c r="E2" s="3">
        <f>IF(D2="","",C2*D2)</f>
        <v/>
      </c>
      <c r="F2" s="2" t="inlineStr">
        <is>
          <t>RobitShop</t>
        </is>
      </c>
      <c r="G2" s="8" t="inlineStr">
        <is>
          <t>https://www.robitshop.com/urun/28-byj-48-reduktorlu-step-motor-ve-uln2003-step-motor-surucu-karti-mavi</t>
        </is>
      </c>
      <c r="H2" s="2" t="inlineStr">
        <is>
          <t>Var (397)</t>
        </is>
      </c>
      <c r="I2" s="2" t="inlineStr">
        <is>
          <t>evet</t>
        </is>
      </c>
      <c r="J2" s="6" t="inlineStr">
        <is>
          <t>Alt.: Direnc 92,99, Robotistan 100,98. 12 V sürümü TR'de yok.</t>
        </is>
      </c>
    </row>
    <row r="3">
      <c r="A3" s="6" t="inlineStr">
        <is>
          <t>LM8UU</t>
        </is>
      </c>
      <c r="B3" s="6" t="inlineStr">
        <is>
          <t>8 mm lineer rulman (X 4, Y 4, Z 4)</t>
        </is>
      </c>
      <c r="C3" s="2" t="n">
        <v>12</v>
      </c>
      <c r="D3" s="3" t="n">
        <v>42</v>
      </c>
      <c r="E3" s="3">
        <f>IF(D3="","",C3*D3)</f>
        <v/>
      </c>
      <c r="F3" s="2" t="inlineStr">
        <is>
          <t>Motorobit</t>
        </is>
      </c>
      <c r="G3" s="8" t="inlineStr">
        <is>
          <t>https://www.motorobit.com/3d-yazici-icin-rulman-lm8uu</t>
        </is>
      </c>
      <c r="H3" s="2" t="inlineStr">
        <is>
          <t>Var (75)</t>
        </is>
      </c>
      <c r="I3" s="2" t="inlineStr">
        <is>
          <t>evet</t>
        </is>
      </c>
      <c r="J3" s="6" t="inlineStr"/>
    </row>
    <row r="4">
      <c r="A4" s="6" t="inlineStr">
        <is>
          <t>Krom mil Ø8, 300 mm</t>
        </is>
      </c>
      <c r="B4" s="6" t="inlineStr">
        <is>
          <t>Kes: X 2x262, Y 2x250, Z 2x110 (bir milden)</t>
        </is>
      </c>
      <c r="C4" s="2" t="n">
        <v>5</v>
      </c>
      <c r="D4" s="3" t="n">
        <v>138</v>
      </c>
      <c r="E4" s="3">
        <f>IF(D4="","",C4*D4)</f>
        <v/>
      </c>
      <c r="F4" s="2" t="inlineStr">
        <is>
          <t>Motorobit</t>
        </is>
      </c>
      <c r="G4" s="8" t="inlineStr">
        <is>
          <t>https://www.motorobit.com/8mm-induksiyonlu-mil-krom-kapli-300mm</t>
        </is>
      </c>
      <c r="H4" s="2" t="inlineStr">
        <is>
          <t>Var (26)</t>
        </is>
      </c>
      <c r="I4" s="2" t="inlineStr">
        <is>
          <t>evet</t>
        </is>
      </c>
      <c r="J4" s="6" t="inlineStr">
        <is>
          <t>250/330 mm TR'de yok. Sertleştirilmiş mil taşla (avuç taşlama) kesilir; yerel lineer rulmancıda kestirmek daha ucuz olabilir.</t>
        </is>
      </c>
    </row>
    <row r="5">
      <c r="A5" s="6" t="inlineStr">
        <is>
          <t>GT2 kayış 6 mm, 2 m</t>
        </is>
      </c>
      <c r="B5" s="6" t="inlineStr">
        <is>
          <t>X 620 + Y 596 mm</t>
        </is>
      </c>
      <c r="C5" s="2" t="n">
        <v>1</v>
      </c>
      <c r="D5" s="3" t="n">
        <v>116.24</v>
      </c>
      <c r="E5" s="3">
        <f>IF(D5="","",C5*D5)</f>
        <v/>
      </c>
      <c r="F5" s="2" t="inlineStr">
        <is>
          <t>Direnc.net</t>
        </is>
      </c>
      <c r="G5" s="8" t="inlineStr">
        <is>
          <t>https://www.direnc.net/gt2-zamanlama-kayisi-6mm-2-metre</t>
        </is>
      </c>
      <c r="H5" s="2" t="inlineStr">
        <is>
          <t>Var (22)</t>
        </is>
      </c>
      <c r="I5" s="2" t="inlineStr">
        <is>
          <t>evet</t>
        </is>
      </c>
      <c r="J5" s="6" t="inlineStr">
        <is>
          <t>1 m yetmez.</t>
        </is>
      </c>
    </row>
    <row r="6">
      <c r="A6" s="6" t="inlineStr">
        <is>
          <t>GT2 dişsiz rulmanlı avara (3 mm)</t>
        </is>
      </c>
      <c r="B6" s="6" t="inlineStr">
        <is>
          <t>Hazır avara; baskı avara yerine</t>
        </is>
      </c>
      <c r="C6" s="2" t="n">
        <v>2</v>
      </c>
      <c r="D6" s="3" t="n">
        <v>66</v>
      </c>
      <c r="E6" s="3">
        <f>IF(D6="","",C6*D6)</f>
        <v/>
      </c>
      <c r="F6" s="2" t="inlineStr">
        <is>
          <t>Motorobit</t>
        </is>
      </c>
      <c r="G6" s="8" t="inlineStr">
        <is>
          <t>https://www.motorobit.com/gt2-dissiz-3mm-rulmanli-kasnak</t>
        </is>
      </c>
      <c r="H6" s="2" t="inlineStr">
        <is>
          <t>Var (524)</t>
        </is>
      </c>
      <c r="I6" s="2" t="inlineStr">
        <is>
          <t>evet</t>
        </is>
      </c>
      <c r="J6" s="6" t="inlineStr">
        <is>
          <t>623ZZ TR'de bulunamadı (624ZZ baskı avaraya sığmaz). Baskı kasnaklar yine 28BYJ miline (D 5/3 mm).</t>
        </is>
      </c>
    </row>
    <row r="7">
      <c r="A7" s="6" t="inlineStr">
        <is>
          <t>RS775 DC motor, 5 mm mil</t>
        </is>
      </c>
      <c r="B7" s="6" t="inlineStr">
        <is>
          <t>12–36 V, rulmanlı, "3000 rpm"</t>
        </is>
      </c>
      <c r="C7" s="2" t="n">
        <v>1</v>
      </c>
      <c r="D7" s="3" t="n">
        <v>270.22</v>
      </c>
      <c r="E7" s="3">
        <f>IF(D7="","",C7*D7)</f>
        <v/>
      </c>
      <c r="F7" s="2" t="inlineStr">
        <is>
          <t>RobitShop</t>
        </is>
      </c>
      <c r="G7" s="8" t="inlineStr">
        <is>
          <t>https://www.robitshop.com/urun/rs775-dc-motor-rulmanli-12v-3000-rpm-sarjli-matkap-motoru</t>
        </is>
      </c>
      <c r="H7" s="2" t="inlineStr">
        <is>
          <t>Var (12)</t>
        </is>
      </c>
      <c r="I7" s="2" t="inlineStr">
        <is>
          <t>evet</t>
        </is>
      </c>
      <c r="J7" s="6" t="inlineStr">
        <is>
          <t>PCB için devir düşük (karbür ~10.000 rpm sever): yavaş ilerle ya da daha hızlı 775 bul (pazaryeri, doğrulanmadı). TR'de bulunan tek 5 mm milli 12 V 775.</t>
        </is>
      </c>
    </row>
    <row r="8">
      <c r="A8" s="6" t="inlineStr">
        <is>
          <t>Mandren / pens seti 5 mm mil</t>
        </is>
      </c>
      <c r="B8" s="6" t="inlineStr">
        <is>
          <t>10 pens 0,5–3,2 mm (3,175 saplı karbür uçları tutar)</t>
        </is>
      </c>
      <c r="C8" s="2" t="n">
        <v>1</v>
      </c>
      <c r="D8" s="3" t="n">
        <v>318</v>
      </c>
      <c r="E8" s="3">
        <f>IF(D8="","",C8*D8)</f>
        <v/>
      </c>
      <c r="F8" s="2" t="inlineStr">
        <is>
          <t>Motorobit</t>
        </is>
      </c>
      <c r="G8" s="8" t="inlineStr">
        <is>
          <t>https://www.motorobit.com/el-matkabi-mandren-seti-5mm</t>
        </is>
      </c>
      <c r="H8" s="2" t="inlineStr">
        <is>
          <t>Var (45)</t>
        </is>
      </c>
      <c r="I8" s="2" t="inlineStr">
        <is>
          <t>evet</t>
        </is>
      </c>
      <c r="J8" s="6" t="inlineStr">
        <is>
          <t>JT0 yerine pens tipi. MAN02 (≤3 mm) ve MAN01 (≤2,4 mm mil) uymaz.</t>
        </is>
      </c>
    </row>
    <row r="9">
      <c r="A9" s="6" t="inlineStr">
        <is>
          <t>T8 trapez mil 400 mm + pirinç somun</t>
        </is>
      </c>
      <c r="B9" s="6" t="inlineStr">
        <is>
          <t>T8x8; 150 mm'ye kesilir</t>
        </is>
      </c>
      <c r="C9" s="2" t="n">
        <v>1</v>
      </c>
      <c r="D9" s="3" t="n">
        <v>300</v>
      </c>
      <c r="E9" s="3">
        <f>IF(D9="","",C9*D9)</f>
        <v/>
      </c>
      <c r="F9" s="2" t="inlineStr">
        <is>
          <t>Motorobit</t>
        </is>
      </c>
      <c r="G9" s="8" t="inlineStr">
        <is>
          <t>https://www.motorobit.com/3d-yazici-vidali-mil-somun-400mm-40-cm-t8-8mm</t>
        </is>
      </c>
      <c r="H9" s="2" t="inlineStr">
        <is>
          <t>Var (56)</t>
        </is>
      </c>
      <c r="I9" s="2" t="inlineStr">
        <is>
          <t>evet</t>
        </is>
      </c>
      <c r="J9" s="6" t="inlineStr">
        <is>
          <t>100–150 mm TR'de yok. Tork yetmezse T8x2 (4 kat kuvvet, 1/4 hız).</t>
        </is>
      </c>
    </row>
    <row r="10">
      <c r="A10" s="6" t="inlineStr">
        <is>
          <t>Kaplin 5x8</t>
        </is>
      </c>
      <c r="B10" s="6" t="inlineStr">
        <is>
          <t>Z motoru – T8</t>
        </is>
      </c>
      <c r="C10" s="2" t="n">
        <v>1</v>
      </c>
      <c r="D10" s="3" t="n">
        <v>45</v>
      </c>
      <c r="E10" s="3">
        <f>IF(D10="","",C10*D10)</f>
        <v/>
      </c>
      <c r="F10" s="2" t="inlineStr">
        <is>
          <t>Motorobit</t>
        </is>
      </c>
      <c r="G10" s="8" t="inlineStr">
        <is>
          <t>https://www.motorobit.com/aluminyum-sabit-kaplin-5x8mm</t>
        </is>
      </c>
      <c r="H10" s="2" t="inlineStr">
        <is>
          <t>Var (100)</t>
        </is>
      </c>
      <c r="I10" s="2" t="inlineStr">
        <is>
          <t>evet</t>
        </is>
      </c>
      <c r="J10" s="6" t="inlineStr">
        <is>
          <t>Esnek alt.: 84 TL (Motorobit).</t>
        </is>
      </c>
    </row>
    <row r="11">
      <c r="A11" s="6" t="inlineStr">
        <is>
          <t>Mikro switch</t>
        </is>
      </c>
      <c r="B11" s="6" t="inlineStr">
        <is>
          <t>DM1-00P-130G, X/Y/Z sıfırlama</t>
        </is>
      </c>
      <c r="C11" s="2" t="n">
        <v>3</v>
      </c>
      <c r="D11" s="3" t="n">
        <v>4.8</v>
      </c>
      <c r="E11" s="3">
        <f>IF(D11="","",C11*D11)</f>
        <v/>
      </c>
      <c r="F11" s="2" t="inlineStr">
        <is>
          <t>Motorobit</t>
        </is>
      </c>
      <c r="G11" s="8" t="inlineStr">
        <is>
          <t>https://www.motorobit.com/dm1-00p-130g-mikro-switch</t>
        </is>
      </c>
      <c r="H11" s="2" t="inlineStr">
        <is>
          <t>Var</t>
        </is>
      </c>
      <c r="I11" s="2" t="inlineStr">
        <is>
          <t>evet</t>
        </is>
      </c>
      <c r="J11" s="6" t="inlineStr"/>
    </row>
    <row r="12">
      <c r="A12" s="6" t="inlineStr">
        <is>
          <t>12 V 3 A adaptör</t>
        </is>
      </c>
      <c r="B12" s="6" t="inlineStr">
        <is>
          <t>5,5 mm jak; spindle + 5 V düşürücü girişi</t>
        </is>
      </c>
      <c r="C12" s="2" t="n">
        <v>1</v>
      </c>
      <c r="D12" s="3" t="n">
        <v>240</v>
      </c>
      <c r="E12" s="3">
        <f>IF(D12="","",C12*D12)</f>
        <v/>
      </c>
      <c r="F12" s="2" t="inlineStr">
        <is>
          <t>Motorobit</t>
        </is>
      </c>
      <c r="G12" s="8" t="inlineStr">
        <is>
          <t>https://www.motorobit.com/12v-3a-adaptor-gs-p120300e553</t>
        </is>
      </c>
      <c r="H12" s="2" t="inlineStr">
        <is>
          <t>Var (58)</t>
        </is>
      </c>
      <c r="I12" s="2" t="inlineStr">
        <is>
          <t>evet</t>
        </is>
      </c>
      <c r="J12" s="6" t="inlineStr"/>
    </row>
    <row r="13">
      <c r="A13" s="6" t="inlineStr">
        <is>
          <t>5 V 3 A düşürücü</t>
        </is>
      </c>
      <c r="B13" s="6" t="inlineStr">
        <is>
          <t>LM2596-5V; 3 x 28BYJ ~0,75 A</t>
        </is>
      </c>
      <c r="C13" s="2" t="n">
        <v>1</v>
      </c>
      <c r="D13" s="3" t="n">
        <v>160.14</v>
      </c>
      <c r="E13" s="3">
        <f>IF(D13="","",C13*D13)</f>
        <v/>
      </c>
      <c r="F13" s="2" t="inlineStr">
        <is>
          <t>Robotistan</t>
        </is>
      </c>
      <c r="G13" s="8" t="inlineStr">
        <is>
          <t>https://www.robotistan.com/5v-3a-voltaj-regulator-karti-lm2596-5v</t>
        </is>
      </c>
      <c r="H13" s="2" t="inlineStr">
        <is>
          <t>Var (536)</t>
        </is>
      </c>
      <c r="I13" s="2" t="inlineStr">
        <is>
          <t>evet</t>
        </is>
      </c>
      <c r="J13" s="6" t="inlineStr"/>
    </row>
    <row r="14">
      <c r="A14" s="6" t="inlineStr">
        <is>
          <t>MOSFET kartı</t>
        </is>
      </c>
      <c r="B14" s="6" t="inlineStr">
        <is>
          <t>15 A PWM, 3,3 V tetik (spindle)</t>
        </is>
      </c>
      <c r="C14" s="2" t="n">
        <v>1</v>
      </c>
      <c r="D14" s="3" t="n">
        <v>93.20999999999999</v>
      </c>
      <c r="E14" s="3">
        <f>IF(D14="","",C14*D14)</f>
        <v/>
      </c>
      <c r="F14" s="2" t="inlineStr">
        <is>
          <t>Robotistan</t>
        </is>
      </c>
      <c r="G14" s="8" t="inlineStr">
        <is>
          <t>https://www.robotistan.com/15a-400w-pwm-kontrollu-mosfet-anahtarlama-karti</t>
        </is>
      </c>
      <c r="H14" s="2" t="inlineStr">
        <is>
          <t>Var (174)</t>
        </is>
      </c>
      <c r="I14" s="2" t="inlineStr">
        <is>
          <t>evet</t>
        </is>
      </c>
      <c r="J14" s="6" t="inlineStr">
        <is>
          <t>+ 1N5819 diyot 1,20 TL (Motorobit).</t>
        </is>
      </c>
    </row>
    <row r="15">
      <c r="A15" s="6" t="inlineStr">
        <is>
          <t>M3/M4 vida + somun</t>
        </is>
      </c>
      <c r="B15" s="6" t="inlineStr">
        <is>
          <t>Direnc paketleri (M3 16 mm, M3 somun, M4 16 mm, M4 somun)</t>
        </is>
      </c>
      <c r="C15" s="2" t="n">
        <v>1</v>
      </c>
      <c r="D15" s="3" t="n">
        <v>92</v>
      </c>
      <c r="E15" s="3">
        <f>IF(D15="","",C15*D15)</f>
        <v/>
      </c>
      <c r="F15" s="2" t="inlineStr">
        <is>
          <t>Direnc.net</t>
        </is>
      </c>
      <c r="G15" s="8" t="inlineStr">
        <is>
          <t>https://www.direnc.net/m3-15mm-ysb-20-adet</t>
        </is>
      </c>
      <c r="H15" s="2" t="inlineStr">
        <is>
          <t>Var</t>
        </is>
      </c>
      <c r="I15" s="2" t="inlineStr">
        <is>
          <t>hayır</t>
        </is>
      </c>
      <c r="J15" s="6" t="inlineStr">
        <is>
          <t>Toplam paket fiyatı, arama verisinden.</t>
        </is>
      </c>
    </row>
    <row r="16">
      <c r="A16" s="6" t="inlineStr">
        <is>
          <t>PCB karbür uç seti</t>
        </is>
      </c>
      <c r="B16" s="6" t="inlineStr">
        <is>
          <t>0,3–1,2 mm, 10 adet, 3,175 sap</t>
        </is>
      </c>
      <c r="C16" s="2" t="n">
        <v>1</v>
      </c>
      <c r="D16" s="3" t="n">
        <v>270</v>
      </c>
      <c r="E16" s="3">
        <f>IF(D16="","",C16*D16)</f>
        <v/>
      </c>
      <c r="F16" s="2" t="inlineStr">
        <is>
          <t>Motorobit</t>
        </is>
      </c>
      <c r="G16" s="8" t="inlineStr">
        <is>
          <t>https://www.motorobit.com/pcb-matkap-ucu-seti-03-1</t>
        </is>
      </c>
      <c r="H16" s="2" t="inlineStr">
        <is>
          <t>Var</t>
        </is>
      </c>
      <c r="I16" s="2" t="inlineStr">
        <is>
          <t>evet</t>
        </is>
      </c>
      <c r="J16" s="6" t="inlineStr">
        <is>
          <t>0,6 mm altı uçlar salgıya hassas.</t>
        </is>
      </c>
    </row>
    <row r="17">
      <c r="A17" s="6" t="inlineStr">
        <is>
          <t>ESP32-S3</t>
        </is>
      </c>
      <c r="B17" s="6" t="inlineStr">
        <is>
          <t>Kullanıcıda var</t>
        </is>
      </c>
      <c r="C17" s="2" t="n">
        <v>1</v>
      </c>
      <c r="D17" s="3" t="n">
        <v>0</v>
      </c>
      <c r="E17" s="3">
        <f>IF(D17="","",C17*D17)</f>
        <v/>
      </c>
      <c r="F17" s="2" t="inlineStr">
        <is>
          <t>—</t>
        </is>
      </c>
      <c r="G17" s="2" t="inlineStr"/>
      <c r="H17" s="2" t="inlineStr">
        <is>
          <t>—</t>
        </is>
      </c>
      <c r="I17" s="2" t="inlineStr">
        <is>
          <t>—</t>
        </is>
      </c>
      <c r="J17" s="6" t="inlineStr"/>
    </row>
    <row r="18">
      <c r="A18" s="6" t="inlineStr">
        <is>
          <t>PETG filament</t>
        </is>
      </c>
      <c r="B18" s="6" t="inlineStr">
        <is>
          <t>~300 g (16 parça, %40 doluluk; kaba tahmin)</t>
        </is>
      </c>
      <c r="C18" s="2" t="n">
        <v>1</v>
      </c>
      <c r="D18" s="3" t="n"/>
      <c r="E18" s="3">
        <f>IF(D18="","",C18*D18)</f>
        <v/>
      </c>
      <c r="F18" s="2" t="inlineStr">
        <is>
          <t>—</t>
        </is>
      </c>
      <c r="G18" s="2" t="inlineStr"/>
      <c r="H18" s="2" t="inlineStr">
        <is>
          <t>—</t>
        </is>
      </c>
      <c r="I18" s="9" t="inlineStr">
        <is>
          <t>hayır</t>
        </is>
      </c>
      <c r="J18" s="6" t="inlineStr">
        <is>
          <t>Elde varsa 0.</t>
        </is>
      </c>
    </row>
    <row r="19">
      <c r="A19" s="6" t="inlineStr">
        <is>
          <t>Kontrplak / MDF</t>
        </is>
      </c>
      <c r="B19" s="6" t="inlineStr">
        <is>
          <t>Taban 370x357 (18), kolon 160x278, Z plakası 110x175, 2 yanak 105x175 (18), tabla 180x120 (9), lata 220x40 (8), feda 164x104 (3)</t>
        </is>
      </c>
      <c r="C19" s="2" t="n">
        <v>1</v>
      </c>
      <c r="D19" s="3" t="n"/>
      <c r="E19" s="3">
        <f>IF(D19="","",C19*D19)</f>
        <v/>
      </c>
      <c r="F19" s="2" t="inlineStr">
        <is>
          <t>Yerel kesim</t>
        </is>
      </c>
      <c r="G19" s="2" t="inlineStr"/>
      <c r="H19" s="2" t="inlineStr">
        <is>
          <t>—</t>
        </is>
      </c>
      <c r="I19" s="9" t="inlineStr">
        <is>
          <t>hayır</t>
        </is>
      </c>
      <c r="J19" s="6" t="inlineStr">
        <is>
          <t>Ölçüler delme/README.md.</t>
        </is>
      </c>
    </row>
    <row r="20">
      <c r="A20" s="6" t="inlineStr">
        <is>
          <t>Hizalama pimi Ø3</t>
        </is>
      </c>
      <c r="B20" s="6" t="inlineStr">
        <is>
          <t>DIN 6325 3x16 ya da 3 mm gümüş çelik</t>
        </is>
      </c>
      <c r="C20" s="2" t="n">
        <v>2</v>
      </c>
      <c r="D20" s="3" t="n"/>
      <c r="E20" s="3">
        <f>IF(D20="","",C20*D20)</f>
        <v/>
      </c>
      <c r="F20" s="2" t="inlineStr">
        <is>
          <t>Hırdavat</t>
        </is>
      </c>
      <c r="G20" s="2" t="inlineStr"/>
      <c r="H20" s="2" t="inlineStr">
        <is>
          <t>—</t>
        </is>
      </c>
      <c r="I20" s="9" t="inlineStr">
        <is>
          <t>hayır</t>
        </is>
      </c>
      <c r="J20" s="6" t="inlineStr">
        <is>
          <t>TR e-ticarette bulunamadı.</t>
        </is>
      </c>
    </row>
    <row r="21">
      <c r="A21" s="7" t="inlineStr">
        <is>
          <t>TOPLAM</t>
        </is>
      </c>
      <c r="B21" s="7" t="inlineStr"/>
      <c r="C21" s="4" t="inlineStr"/>
      <c r="D21" s="5" t="inlineStr"/>
      <c r="E21" s="5">
        <f>SUM(E2:E20)</f>
        <v/>
      </c>
      <c r="F21" s="4" t="inlineStr"/>
      <c r="G21" s="4" t="inlineStr"/>
      <c r="H21" s="4" t="inlineStr"/>
      <c r="I21" s="4" t="inlineStr"/>
      <c r="J21" s="7" t="inlineStr">
        <is>
          <t>Fiyatsız satırlar hariç; kargo hariç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44" customWidth="1" min="4" max="4"/>
    <col width="7" customWidth="1" min="5" max="5"/>
    <col width="7" customWidth="1" min="6" max="6"/>
    <col width="14" customWidth="1" min="7" max="7"/>
    <col width="14" customWidth="1" min="8" max="8"/>
    <col width="18" customWidth="1" min="9" max="9"/>
    <col width="40" customWidth="1" min="10" max="10"/>
    <col width="18" customWidth="1" min="11" max="11"/>
    <col width="11" customWidth="1" min="12" max="12"/>
    <col width="60" customWidth="1" min="13" max="13"/>
  </cols>
  <sheetData>
    <row r="1" ht="30" customHeight="1">
      <c r="A1" s="1" t="inlineStr">
        <is>
          <t>No</t>
        </is>
      </c>
      <c r="B1" s="1" t="inlineStr">
        <is>
          <t>Modül</t>
        </is>
      </c>
      <c r="C1" s="1" t="inlineStr">
        <is>
          <t>Kalem</t>
        </is>
      </c>
      <c r="D1" s="1" t="inlineStr">
        <is>
          <t>Özellik</t>
        </is>
      </c>
      <c r="E1" s="1" t="inlineStr">
        <is>
          <t>Adet</t>
        </is>
      </c>
      <c r="F1" s="1" t="inlineStr">
        <is>
          <t>Birim</t>
        </is>
      </c>
      <c r="G1" s="1" t="inlineStr">
        <is>
          <t>Birim fiyat (TL, KDV dahil)</t>
        </is>
      </c>
      <c r="H1" s="1" t="inlineStr">
        <is>
          <t>Toplam (TL)</t>
        </is>
      </c>
      <c r="I1" s="1" t="inlineStr">
        <is>
          <t>Satıcı</t>
        </is>
      </c>
      <c r="J1" s="1" t="inlineStr">
        <is>
          <t>Link</t>
        </is>
      </c>
      <c r="K1" s="1" t="inlineStr">
        <is>
          <t>Stok (2026-10-04)</t>
        </is>
      </c>
      <c r="L1" s="1" t="inlineStr">
        <is>
          <t>Doğrulandı</t>
        </is>
      </c>
      <c r="M1" s="1" t="inlineStr">
        <is>
          <t>Not / alternatif</t>
        </is>
      </c>
    </row>
    <row r="2">
      <c r="A2" s="2" t="n">
        <v>1</v>
      </c>
      <c r="B2" s="2" t="inlineStr">
        <is>
          <t>1 Pozlama</t>
        </is>
      </c>
      <c r="C2" s="6" t="inlineStr">
        <is>
          <t>Mono LCD 6.6" 4K (Aptus)</t>
        </is>
      </c>
      <c r="D2" s="6" t="inlineStr">
        <is>
          <t>Aptus DBM066M4K01, 4098x2560, 35 µm, aktif alan 143.43x89.60 mm, MIPI 50 pin (master+slave)</t>
        </is>
      </c>
      <c r="E2" s="2" t="n">
        <v>2</v>
      </c>
      <c r="F2" s="2" t="inlineStr">
        <is>
          <t>adet</t>
        </is>
      </c>
      <c r="G2" s="3" t="n"/>
      <c r="H2" s="3">
        <f>IF(G2="","",E2*G2)</f>
        <v/>
      </c>
      <c r="I2" s="6" t="inlineStr">
        <is>
          <t>Aptus Display (Shenzhen, OEM)</t>
        </is>
      </c>
      <c r="J2" s="8" t="inlineStr">
        <is>
          <t>https://www.aptusdisplay.com/products/6-6-inch-4k-4098x2560-mono-lcd-display</t>
        </is>
      </c>
      <c r="K2" s="6" t="inlineStr">
        <is>
          <t>Numune / teklif</t>
        </is>
      </c>
      <c r="L2" s="9" t="inlineStr">
        <is>
          <t>hayır</t>
        </is>
      </c>
      <c r="M2" s="6" t="inlineStr">
        <is>
          <t>Kullanıcının seçimi (2026-10-04). Desen ≤143x89 mm; ham plaket 160x100, hizalama pimleri kenarda (delme makinesiyle aynı). Fiyat/MOQ/405 nm geçirgenlik sorulacak.</t>
        </is>
      </c>
    </row>
    <row r="3">
      <c r="A3" s="2" t="n">
        <v>2</v>
      </c>
      <c r="B3" s="2" t="inlineStr">
        <is>
          <t>1 Pozlama</t>
        </is>
      </c>
      <c r="C3" s="6" t="inlineStr">
        <is>
          <t>HDMI → MIPI sürücü kartı (Aptus)</t>
        </is>
      </c>
      <c r="D3" s="6" t="inlineStr">
        <is>
          <t>Aptus panel için özel HDMI-MIPI kart</t>
        </is>
      </c>
      <c r="E3" s="2" t="n">
        <v>2</v>
      </c>
      <c r="F3" s="2" t="inlineStr">
        <is>
          <t>adet</t>
        </is>
      </c>
      <c r="G3" s="3" t="n"/>
      <c r="H3" s="3">
        <f>IF(G3="","",E3*G3)</f>
        <v/>
      </c>
      <c r="I3" s="6" t="inlineStr">
        <is>
          <t>Aptus Display (Shenzhen, OEM)</t>
        </is>
      </c>
      <c r="J3" s="8" t="inlineStr">
        <is>
          <t>https://www.aptusdisplay.com/products/6-6-inch-4k-4098x2560-mono-lcd-display</t>
        </is>
      </c>
      <c r="K3" s="6" t="inlineStr">
        <is>
          <t>Numune / teklif</t>
        </is>
      </c>
      <c r="L3" s="9" t="inlineStr">
        <is>
          <t>hayır</t>
        </is>
      </c>
      <c r="M3" s="6" t="inlineStr">
        <is>
          <t>Panel MIPI zamanlamasını çözmeden HDMI ile sürülür (6.6" panel için). Giriş çözünürlüğü/EDID ve mono piksel paketlemesi sorulacak.</t>
        </is>
      </c>
    </row>
    <row r="4">
      <c r="A4" s="2" t="n">
        <v>3</v>
      </c>
      <c r="B4" s="2" t="inlineStr">
        <is>
          <t>1 Pozlama</t>
        </is>
      </c>
      <c r="C4" s="6" t="inlineStr">
        <is>
          <t>Raspberry Pi 5 8 GB</t>
        </is>
      </c>
      <c r="D4" s="6" t="inlineStr">
        <is>
          <t>Panelin HDMI kaynağı (pozlama görüntüsü); ürün için Compute Module 5</t>
        </is>
      </c>
      <c r="E4" s="2" t="n">
        <v>1</v>
      </c>
      <c r="F4" s="2" t="inlineStr">
        <is>
          <t>adet</t>
        </is>
      </c>
      <c r="G4" s="3" t="n">
        <v>12010.34</v>
      </c>
      <c r="H4" s="3">
        <f>IF(G4="","",E4*G4)</f>
        <v/>
      </c>
      <c r="I4" s="6" t="inlineStr">
        <is>
          <t>Robotistan</t>
        </is>
      </c>
      <c r="J4" s="8" t="inlineStr">
        <is>
          <t>https://www.robotistan.com/raspberry-pi-5-8gb</t>
        </is>
      </c>
      <c r="K4" s="6" t="inlineStr">
        <is>
          <t>Stokta</t>
        </is>
      </c>
      <c r="L4" s="2" t="inlineStr">
        <is>
          <t>evet</t>
        </is>
      </c>
      <c r="M4" s="6" t="inlineStr">
        <is>
          <t>Pi 5 4 GB her yerde tükenmiş (~6.900–8.000 TL). Ürün: CM5 2 GB/16 GB 6.228,05 TL stokta + CM5 IO Board 1.260,79 TL (Robotistan).</t>
        </is>
      </c>
    </row>
    <row r="5">
      <c r="A5" s="2" t="n">
        <v>4</v>
      </c>
      <c r="B5" s="2" t="inlineStr">
        <is>
          <t>1 Pozlama</t>
        </is>
      </c>
      <c r="C5" s="6" t="inlineStr">
        <is>
          <t>UV LED ışık modülü</t>
        </is>
      </c>
      <c r="D5" s="6" t="inlineStr">
        <is>
          <t>Anycubic Photon Mono M7 Pro ışık kartı, 405 nm matris, 10" sınıfı</t>
        </is>
      </c>
      <c r="E5" s="2" t="n">
        <v>1</v>
      </c>
      <c r="F5" s="2" t="inlineStr">
        <is>
          <t>adet</t>
        </is>
      </c>
      <c r="G5" s="3" t="n">
        <v>4230</v>
      </c>
      <c r="H5" s="3">
        <f>IF(G5="","",E5*G5)</f>
        <v/>
      </c>
      <c r="I5" s="6" t="inlineStr">
        <is>
          <t>3Dream</t>
        </is>
      </c>
      <c r="J5" s="8" t="inlineStr">
        <is>
          <t>https://store.3dream.com.tr/products/anycubic-uv-led-modulu</t>
        </is>
      </c>
      <c r="K5" s="6" t="inlineStr">
        <is>
          <t>Stokta</t>
        </is>
      </c>
      <c r="L5" s="2" t="inlineStr">
        <is>
          <t>evet</t>
        </is>
      </c>
      <c r="M5" s="6" t="inlineStr">
        <is>
          <t>Gerilim/akım sayfada yok: kart etiketinden ölçülmeli. Alt.: Creality Halot Lite/Sky UV light, Robo90 470,40 TL (fiyat şüpheli düşük, teyit et). Gerçek 405 nm COB TR'de yok → Yurt dışı sayfası.</t>
        </is>
      </c>
    </row>
    <row r="6">
      <c r="A6" s="2" t="n">
        <v>5</v>
      </c>
      <c r="B6" s="2" t="inlineStr">
        <is>
          <t>1 Pozlama</t>
        </is>
      </c>
      <c r="C6" s="6" t="inlineStr">
        <is>
          <t>Fresnel mercek</t>
        </is>
      </c>
      <c r="D6" s="6" t="inlineStr">
        <is>
          <t>Anycubic Mono M7 / M7 Pro Fresnel (ışık modülüyle aynı set)</t>
        </is>
      </c>
      <c r="E6" s="2" t="n">
        <v>1</v>
      </c>
      <c r="F6" s="2" t="inlineStr">
        <is>
          <t>adet</t>
        </is>
      </c>
      <c r="G6" s="3" t="n">
        <v>1645</v>
      </c>
      <c r="H6" s="3">
        <f>IF(G6="","",E6*G6)</f>
        <v/>
      </c>
      <c r="I6" s="6" t="inlineStr">
        <is>
          <t>3Dream</t>
        </is>
      </c>
      <c r="J6" s="8" t="inlineStr">
        <is>
          <t>https://store.3dream.com.tr/products/anycubic-fresnel-lens</t>
        </is>
      </c>
      <c r="K6" s="6" t="inlineStr">
        <is>
          <t>Stokta</t>
        </is>
      </c>
      <c r="L6" s="2" t="inlineStr">
        <is>
          <t>evet</t>
        </is>
      </c>
      <c r="M6" s="6" t="inlineStr">
        <is>
          <t>Alt.: A4 sayfa büyüteci 180x120 PVC, Hepsiburada ~398 TL (doğrulanamadı; odak ve 405 nm geçirgenliği belirsiz).</t>
        </is>
      </c>
    </row>
    <row r="7">
      <c r="A7" s="2" t="n">
        <v>6</v>
      </c>
      <c r="B7" s="2" t="inlineStr">
        <is>
          <t>1 Pozlama</t>
        </is>
      </c>
      <c r="C7" s="6" t="inlineStr">
        <is>
          <t>LCD koruma filmi</t>
        </is>
      </c>
      <c r="D7" s="6" t="inlineStr">
        <is>
          <t>Anycubic M7/M7 Pro ekran koruyucu, 5'li</t>
        </is>
      </c>
      <c r="E7" s="2" t="n">
        <v>1</v>
      </c>
      <c r="F7" s="2" t="inlineStr">
        <is>
          <t>paket</t>
        </is>
      </c>
      <c r="G7" s="3" t="n">
        <v>1176</v>
      </c>
      <c r="H7" s="3">
        <f>IF(G7="","",E7*G7)</f>
        <v/>
      </c>
      <c r="I7" s="6" t="inlineStr">
        <is>
          <t>Robo90</t>
        </is>
      </c>
      <c r="J7" s="8" t="inlineStr">
        <is>
          <t>https://www.robo90.com/anycubic-ekran-koruyucu-5-adet-mono-m7m7-pro</t>
        </is>
      </c>
      <c r="K7" s="6" t="inlineStr">
        <is>
          <t>Stokta</t>
        </is>
      </c>
      <c r="L7" s="2" t="inlineStr">
        <is>
          <t>evet</t>
        </is>
      </c>
      <c r="M7" s="6" t="inlineStr">
        <is>
          <t>Panel ile kart arası kalınlık bulanıklık yapar: ince koruyucu tercih et. Phrozen 4K'ya ölçü uyumu kontrol edilmeli.</t>
        </is>
      </c>
    </row>
    <row r="8">
      <c r="A8" s="2" t="n">
        <v>7</v>
      </c>
      <c r="B8" s="2" t="inlineStr">
        <is>
          <t>1 Pozlama</t>
        </is>
      </c>
      <c r="C8" s="6" t="inlineStr">
        <is>
          <t>Sabit akım LED sürücü</t>
        </is>
      </c>
      <c r="D8" s="6" t="inlineStr">
        <is>
          <t>XL4015 ekranlı DC-DC, CC+CV, giriş ≤38 V, 5 A</t>
        </is>
      </c>
      <c r="E8" s="2" t="n">
        <v>1</v>
      </c>
      <c r="F8" s="2" t="inlineStr">
        <is>
          <t>adet</t>
        </is>
      </c>
      <c r="G8" s="3" t="n">
        <v>418.45</v>
      </c>
      <c r="H8" s="3">
        <f>IF(G8="","",E8*G8)</f>
        <v/>
      </c>
      <c r="I8" s="6" t="inlineStr">
        <is>
          <t>Direnc.net</t>
        </is>
      </c>
      <c r="J8" s="8" t="inlineStr">
        <is>
          <t>https://www.direnc.net/xl4015-display-dc-dc-power-modul</t>
        </is>
      </c>
      <c r="K8" s="6" t="inlineStr">
        <is>
          <t>Stokta</t>
        </is>
      </c>
      <c r="L8" s="2" t="inlineStr">
        <is>
          <t>evet</t>
        </is>
      </c>
      <c r="M8" s="6" t="inlineStr">
        <is>
          <t>Direnc'in 98,80 TL'lik "XL4015 5A Ayarlanabilir" modülü sabit akım DEĞİL. Ürün için Mean Well LDD-H (PWM kısılabilir) → Yurt dışı.</t>
        </is>
      </c>
    </row>
    <row r="9">
      <c r="A9" s="2" t="n">
        <v>8</v>
      </c>
      <c r="B9" s="2" t="inlineStr">
        <is>
          <t>1 Pozlama</t>
        </is>
      </c>
      <c r="C9" s="6" t="inlineStr">
        <is>
          <t>COB soğutucu seti</t>
        </is>
      </c>
      <c r="D9" s="6" t="inlineStr">
        <is>
          <t>50 W COB alüminyum soğutucu 90x90x20 mm, LED yuvası 25.5x25.5 mm, vida arası 34 mm (+60° lens + 220 V kablo)</t>
        </is>
      </c>
      <c r="E9" s="2" t="n">
        <v>1</v>
      </c>
      <c r="F9" s="2" t="inlineStr">
        <is>
          <t>set</t>
        </is>
      </c>
      <c r="G9" s="3" t="n">
        <v>660</v>
      </c>
      <c r="H9" s="3">
        <f>IF(G9="","",E9*G9)</f>
        <v/>
      </c>
      <c r="I9" s="6" t="inlineStr">
        <is>
          <t>Motorobit</t>
        </is>
      </c>
      <c r="J9" s="8" t="inlineStr">
        <is>
          <t>https://www.motorobit.com/50w-cob-led-aluminyum-sogutucu-60-derece-lens-kablo-seti</t>
        </is>
      </c>
      <c r="K9" s="6" t="inlineStr">
        <is>
          <t>Stokta (10+)</t>
        </is>
      </c>
      <c r="L9" s="2" t="inlineStr">
        <is>
          <t>evet</t>
        </is>
      </c>
      <c r="M9" s="6" t="inlineStr">
        <is>
          <t>LED ve sürücü YOK. Yalnız soğutucu kullanılır: 60° lens ışığı yayar (paralel ışık gerekir), 220 V kablo sürücüsüz şebeke COB'u içindir. COB, Fresnel odağına konur.</t>
        </is>
      </c>
    </row>
    <row r="10">
      <c r="A10" s="2" t="n">
        <v>9</v>
      </c>
      <c r="B10" s="2" t="inlineStr">
        <is>
          <t>1 Pozlama</t>
        </is>
      </c>
      <c r="C10" s="6" t="inlineStr">
        <is>
          <t>Fan 92 mm</t>
        </is>
      </c>
      <c r="D10" s="6" t="inlineStr">
        <is>
          <t>92x92x25, 12 V 0,26 A, 3 kablo</t>
        </is>
      </c>
      <c r="E10" s="2" t="n">
        <v>1</v>
      </c>
      <c r="F10" s="2" t="inlineStr">
        <is>
          <t>adet</t>
        </is>
      </c>
      <c r="G10" s="3" t="n">
        <v>72</v>
      </c>
      <c r="H10" s="3">
        <f>IF(G10="","",E10*G10)</f>
        <v/>
      </c>
      <c r="I10" s="6" t="inlineStr">
        <is>
          <t>Motorobit</t>
        </is>
      </c>
      <c r="J10" s="8" t="inlineStr">
        <is>
          <t>https://www.motorobit.com/92x92x25mm-12v-026a-fan-3-kablolu-sari</t>
        </is>
      </c>
      <c r="K10" s="6" t="inlineStr">
        <is>
          <t>Stokta</t>
        </is>
      </c>
      <c r="L10" s="2" t="inlineStr">
        <is>
          <t>evet</t>
        </is>
      </c>
      <c r="M10" s="6" t="inlineStr">
        <is>
          <t>Soğutucuya (90 mm) oturur. Kalite/PWM alt.: NMB 92 mm 4 kablo 420 TL (Motorobit).</t>
        </is>
      </c>
    </row>
    <row r="11">
      <c r="A11" s="2" t="n">
        <v>10</v>
      </c>
      <c r="B11" s="2" t="inlineStr">
        <is>
          <t>1 Pozlama</t>
        </is>
      </c>
      <c r="C11" s="6" t="inlineStr">
        <is>
          <t>Sıcaklık sensörü (LED)</t>
        </is>
      </c>
      <c r="D11" s="6" t="inlineStr">
        <is>
          <t>DS18B20, M10 vidalı prob, 1 m</t>
        </is>
      </c>
      <c r="E11" s="2" t="n">
        <v>1</v>
      </c>
      <c r="F11" s="2" t="inlineStr">
        <is>
          <t>adet</t>
        </is>
      </c>
      <c r="G11" s="3" t="n">
        <v>312</v>
      </c>
      <c r="H11" s="3">
        <f>IF(G11="","",E11*G11)</f>
        <v/>
      </c>
      <c r="I11" s="6" t="inlineStr">
        <is>
          <t>Motorobit</t>
        </is>
      </c>
      <c r="J11" s="8" t="inlineStr">
        <is>
          <t>https://www.motorobit.com/ds18b20-m10-dijital-sicaklik-sensoru-1-metre</t>
        </is>
      </c>
      <c r="K11" s="6" t="inlineStr">
        <is>
          <t>Stokta</t>
        </is>
      </c>
      <c r="L11" s="2" t="inlineStr">
        <is>
          <t>evet</t>
        </is>
      </c>
      <c r="M11" s="6" t="inlineStr">
        <is>
          <t>Ucuz alt.: çıplak DS18B20 36 TL (Motorobit) ya da 10k NTC 6,74 TL (Direnc).</t>
        </is>
      </c>
    </row>
    <row r="12">
      <c r="A12" s="2" t="n">
        <v>11</v>
      </c>
      <c r="B12" s="2" t="inlineStr">
        <is>
          <t>1 Pozlama</t>
        </is>
      </c>
      <c r="C12" s="6" t="inlineStr">
        <is>
          <t>UV koruma gözlüğü</t>
        </is>
      </c>
      <c r="D12" s="6" t="inlineStr">
        <is>
          <t>Univet 5X7.03.00.04, turuncu lens, ~525 nm'ye kadar keser</t>
        </is>
      </c>
      <c r="E12" s="2" t="n">
        <v>1</v>
      </c>
      <c r="F12" s="2" t="inlineStr">
        <is>
          <t>adet</t>
        </is>
      </c>
      <c r="G12" s="3" t="n">
        <v>1489.08</v>
      </c>
      <c r="H12" s="3">
        <f>IF(G12="","",E12*G12)</f>
        <v/>
      </c>
      <c r="I12" s="6" t="inlineStr">
        <is>
          <t>Koçtaş</t>
        </is>
      </c>
      <c r="J12" s="8" t="inlineStr">
        <is>
          <t>https://www.koctas.com.tr/univet-5x7030004-turuncu-lensli-gozluk/p/5000208517</t>
        </is>
      </c>
      <c r="K12" s="6" t="inlineStr">
        <is>
          <t>?</t>
        </is>
      </c>
      <c r="L12" s="9" t="inlineStr">
        <is>
          <t>hayır</t>
        </is>
      </c>
      <c r="M12" s="6" t="inlineStr">
        <is>
          <t>LED pozlama için yeterli. Profesyonel alt.: GHP 180–540 nm OD5+, lazergozluk.net 17.650 TL.</t>
        </is>
      </c>
    </row>
    <row r="13">
      <c r="A13" s="2" t="n">
        <v>12</v>
      </c>
      <c r="B13" s="2" t="inlineStr">
        <is>
          <t>1 Pozlama</t>
        </is>
      </c>
      <c r="C13" s="6" t="inlineStr">
        <is>
          <t>UV engelleyici kapak malzemesi</t>
        </is>
      </c>
      <c r="D13" s="6" t="inlineStr">
        <is>
          <t>3 mm turuncu akrilik (pleksi), ölçüye kesim</t>
        </is>
      </c>
      <c r="E13" s="2" t="n">
        <v>1</v>
      </c>
      <c r="F13" s="2" t="inlineStr">
        <is>
          <t>levha</t>
        </is>
      </c>
      <c r="G13" s="3" t="n"/>
      <c r="H13" s="3">
        <f>IF(G13="","",E13*G13)</f>
        <v/>
      </c>
      <c r="I13" s="6" t="inlineStr">
        <is>
          <t>Hepsiburada (TeknoTrust)</t>
        </is>
      </c>
      <c r="J13" s="8" t="inlineStr">
        <is>
          <t>https://www.hepsiburada.com/teknotrust-3-mm-akrilik-pleksi-levha-seffaf-kalinlik-tum-ebatlar-icin-gecerlidir-pm-HBC00008CFKNV</t>
        </is>
      </c>
      <c r="K13" s="6" t="inlineStr">
        <is>
          <t>?</t>
        </is>
      </c>
      <c r="L13" s="9" t="inlineStr">
        <is>
          <t>hayır</t>
        </is>
      </c>
      <c r="M13" s="6" t="inlineStr">
        <is>
          <t>Sıradan turuncu pleksinin 405 nm'yi kestiği garanti değil, test et. Asıl yol: reçine yazıcı kapağı / UV engelleyici akrilik → Yurt dışı.</t>
        </is>
      </c>
    </row>
    <row r="14">
      <c r="A14" s="2" t="n">
        <v>13</v>
      </c>
      <c r="B14" s="2" t="inlineStr">
        <is>
          <t>2 CNC portal</t>
        </is>
      </c>
      <c r="C14" s="6" t="inlineStr">
        <is>
          <t>Lineer ray HGR15</t>
        </is>
      </c>
      <c r="D14" s="6" t="inlineStr">
        <is>
          <t>15 mm, Hiwin uyumlu, metre fiyatı, ücretsiz kesim</t>
        </is>
      </c>
      <c r="E14" s="2" t="n">
        <v>2</v>
      </c>
      <c r="F14" s="2" t="inlineStr">
        <is>
          <t>m</t>
        </is>
      </c>
      <c r="G14" s="3" t="n">
        <v>766.51</v>
      </c>
      <c r="H14" s="3">
        <f>IF(G14="","",E14*G14)</f>
        <v/>
      </c>
      <c r="I14" s="6" t="inlineStr">
        <is>
          <t>cnc-marketi</t>
        </is>
      </c>
      <c r="J14" s="8" t="inlineStr">
        <is>
          <t>https://www.cnc-marketi.com/urun/lineer-kizak-15-mm-lineer-kizak-fiyatlari</t>
        </is>
      </c>
      <c r="K14" s="6" t="inlineStr">
        <is>
          <t>Stokta (572 m)</t>
        </is>
      </c>
      <c r="L14" s="2" t="inlineStr">
        <is>
          <t>evet</t>
        </is>
      </c>
      <c r="M14" s="6" t="inlineStr">
        <is>
          <t>X/Y/Z ikişer ray ~300 mm. Alt.: Rulmansepetim 1.236,27 TL/m. Daha hafif: MGN12 400 mm set, Motorobit 1.080 TL.</t>
        </is>
      </c>
    </row>
    <row r="15">
      <c r="A15" s="2" t="n">
        <v>14</v>
      </c>
      <c r="B15" s="2" t="inlineStr">
        <is>
          <t>2 CNC portal</t>
        </is>
      </c>
      <c r="C15" s="6" t="inlineStr">
        <is>
          <t>Lineer araba HGH15CA</t>
        </is>
      </c>
      <c r="D15" s="6" t="inlineStr">
        <is>
          <t>Dar tip, Hiwin uyumlu</t>
        </is>
      </c>
      <c r="E15" s="2" t="n">
        <v>8</v>
      </c>
      <c r="F15" s="2" t="inlineStr">
        <is>
          <t>adet</t>
        </is>
      </c>
      <c r="G15" s="3" t="n">
        <v>389.96</v>
      </c>
      <c r="H15" s="3">
        <f>IF(G15="","",E15*G15)</f>
        <v/>
      </c>
      <c r="I15" s="6" t="inlineStr">
        <is>
          <t>cnc-marketi</t>
        </is>
      </c>
      <c r="J15" s="8" t="inlineStr">
        <is>
          <t>https://www.cnc-marketi.com/urun/15-mm-dar-lineer-kizak-arabasi-17737367412859</t>
        </is>
      </c>
      <c r="K15" s="6" t="inlineStr">
        <is>
          <t>Stokta</t>
        </is>
      </c>
      <c r="L15" s="2" t="inlineStr">
        <is>
          <t>evet</t>
        </is>
      </c>
      <c r="M15" s="6" t="inlineStr">
        <is>
          <t>Alt.: Rulmansepetim 431,41 TL.</t>
        </is>
      </c>
    </row>
    <row r="16">
      <c r="A16" s="2" t="n">
        <v>15</v>
      </c>
      <c r="B16" s="2" t="inlineStr">
        <is>
          <t>2 CNC portal</t>
        </is>
      </c>
      <c r="C16" s="6" t="inlineStr">
        <is>
          <t>Bilyalı vida SFU1204</t>
        </is>
      </c>
      <c r="D16" s="6" t="inlineStr">
        <is>
          <t>Uçları tornalanmış (BK/BF10), somun dahil, 350 mm</t>
        </is>
      </c>
      <c r="E16" s="2" t="n">
        <v>3</v>
      </c>
      <c r="F16" s="2" t="inlineStr">
        <is>
          <t>adet</t>
        </is>
      </c>
      <c r="G16" s="3" t="n">
        <v>2525.52</v>
      </c>
      <c r="H16" s="3">
        <f>IF(G16="","",E16*G16)</f>
        <v/>
      </c>
      <c r="I16" s="6" t="inlineStr">
        <is>
          <t>ileri3d</t>
        </is>
      </c>
      <c r="J16" s="8" t="inlineStr">
        <is>
          <t>https://www.ileri3d.com/urun/sfu-1204-tornalanmis-mil-ve-vidali-somun-350mm</t>
        </is>
      </c>
      <c r="K16" s="6" t="inlineStr">
        <is>
          <t>Stokta görünüyor</t>
        </is>
      </c>
      <c r="L16" s="2" t="inlineStr">
        <is>
          <t>evet</t>
        </is>
      </c>
      <c r="M16" s="6" t="inlineStr">
        <is>
          <t>250/300 mm tükendi. Haddelenmiş C7 tek somun birkaç 10 µm boşluk taşır: ±0,02 mm için ön yüklü/C5 gerekebilir (Mermak/Rulmansepetim'e sor).</t>
        </is>
      </c>
    </row>
    <row r="17">
      <c r="A17" s="2" t="n">
        <v>16</v>
      </c>
      <c r="B17" s="2" t="inlineStr">
        <is>
          <t>2 CNC portal</t>
        </is>
      </c>
      <c r="C17" s="6" t="inlineStr">
        <is>
          <t>BK10 sabit yatak</t>
        </is>
      </c>
      <c r="D17" s="6" t="inlineStr">
        <is>
          <t>1204 için</t>
        </is>
      </c>
      <c r="E17" s="2" t="n">
        <v>3</v>
      </c>
      <c r="F17" s="2" t="inlineStr">
        <is>
          <t>adet</t>
        </is>
      </c>
      <c r="G17" s="3" t="n">
        <v>313.32</v>
      </c>
      <c r="H17" s="3">
        <f>IF(G17="","",E17*G17)</f>
        <v/>
      </c>
      <c r="I17" s="6" t="inlineStr">
        <is>
          <t>cnc-marketi</t>
        </is>
      </c>
      <c r="J17" s="8" t="inlineStr">
        <is>
          <t>https://www.cnc-marketi.com/urun/bk-10-vidali-mil-uc-yataklari</t>
        </is>
      </c>
      <c r="K17" s="6" t="inlineStr">
        <is>
          <t>Stokta</t>
        </is>
      </c>
      <c r="L17" s="2" t="inlineStr">
        <is>
          <t>evet</t>
        </is>
      </c>
      <c r="M17" s="6" t="inlineStr">
        <is>
          <t>Alt.: ileri3d 1.036,11 TL.</t>
        </is>
      </c>
    </row>
    <row r="18">
      <c r="A18" s="2" t="n">
        <v>17</v>
      </c>
      <c r="B18" s="2" t="inlineStr">
        <is>
          <t>2 CNC portal</t>
        </is>
      </c>
      <c r="C18" s="6" t="inlineStr">
        <is>
          <t>BF10 serbest yatak</t>
        </is>
      </c>
      <c r="D18" s="6" t="inlineStr">
        <is>
          <t>8 mm mil</t>
        </is>
      </c>
      <c r="E18" s="2" t="n">
        <v>3</v>
      </c>
      <c r="F18" s="2" t="inlineStr">
        <is>
          <t>adet</t>
        </is>
      </c>
      <c r="G18" s="3" t="n">
        <v>201.71</v>
      </c>
      <c r="H18" s="3">
        <f>IF(G18="","",E18*G18)</f>
        <v/>
      </c>
      <c r="I18" s="6" t="inlineStr">
        <is>
          <t>cnc-marketi</t>
        </is>
      </c>
      <c r="J18" s="8" t="inlineStr">
        <is>
          <t>https://www.cnc-marketi.com/urun/bf-10-vidali-mil-uc-yataklari-8mm</t>
        </is>
      </c>
      <c r="K18" s="6" t="inlineStr">
        <is>
          <t>Stokta</t>
        </is>
      </c>
      <c r="L18" s="2" t="inlineStr">
        <is>
          <t>evet</t>
        </is>
      </c>
      <c r="M18" s="6" t="inlineStr">
        <is>
          <t>Alt.: ileri3d 518,05 TL.</t>
        </is>
      </c>
    </row>
    <row r="19">
      <c r="A19" s="2" t="n">
        <v>18</v>
      </c>
      <c r="B19" s="2" t="inlineStr">
        <is>
          <t>2 CNC portal</t>
        </is>
      </c>
      <c r="C19" s="6" t="inlineStr">
        <is>
          <t>Somun gövdesi 1204</t>
        </is>
      </c>
      <c r="D19" s="6" t="inlineStr"/>
      <c r="E19" s="2" t="n">
        <v>3</v>
      </c>
      <c r="F19" s="2" t="inlineStr">
        <is>
          <t>adet</t>
        </is>
      </c>
      <c r="G19" s="3" t="n">
        <v>548.67</v>
      </c>
      <c r="H19" s="3">
        <f>IF(G19="","",E19*G19)</f>
        <v/>
      </c>
      <c r="I19" s="6" t="inlineStr">
        <is>
          <t>ileri3d</t>
        </is>
      </c>
      <c r="J19" s="8" t="inlineStr">
        <is>
          <t>https://www.ileri3d.com/urun/somun-govdesi</t>
        </is>
      </c>
      <c r="K19" s="6" t="inlineStr">
        <is>
          <t>Stokta görünüyor</t>
        </is>
      </c>
      <c r="L19" s="2" t="inlineStr">
        <is>
          <t>evet</t>
        </is>
      </c>
      <c r="M19" s="6" t="inlineStr">
        <is>
          <t>Alt.: Rhino3D 326,66 TL.</t>
        </is>
      </c>
    </row>
    <row r="20">
      <c r="A20" s="2" t="n">
        <v>19</v>
      </c>
      <c r="B20" s="2" t="inlineStr">
        <is>
          <t>2 CNC portal</t>
        </is>
      </c>
      <c r="C20" s="6" t="inlineStr">
        <is>
          <t>Kaplin 5x8</t>
        </is>
      </c>
      <c r="D20" s="6" t="inlineStr">
        <is>
          <t>Alüminyum sabit (rijit)</t>
        </is>
      </c>
      <c r="E20" s="2" t="n">
        <v>3</v>
      </c>
      <c r="F20" s="2" t="inlineStr">
        <is>
          <t>adet</t>
        </is>
      </c>
      <c r="G20" s="3" t="n">
        <v>45</v>
      </c>
      <c r="H20" s="3">
        <f>IF(G20="","",E20*G20)</f>
        <v/>
      </c>
      <c r="I20" s="6" t="inlineStr">
        <is>
          <t>Motorobit</t>
        </is>
      </c>
      <c r="J20" s="8" t="inlineStr">
        <is>
          <t>https://www.motorobit.com/aluminyum-sabit-kaplin-5x8mm</t>
        </is>
      </c>
      <c r="K20" s="6" t="inlineStr">
        <is>
          <t>Stokta (100)</t>
        </is>
      </c>
      <c r="L20" s="2" t="inlineStr">
        <is>
          <t>evet</t>
        </is>
      </c>
      <c r="M20" s="6" t="inlineStr">
        <is>
          <t>Esnek/çeneli tercih edilir: cnc-marketi GS14 409,60 TL (5x8 için sor).</t>
        </is>
      </c>
    </row>
    <row r="21">
      <c r="A21" s="2" t="n">
        <v>20</v>
      </c>
      <c r="B21" s="2" t="inlineStr">
        <is>
          <t>2 CNC portal</t>
        </is>
      </c>
      <c r="C21" s="6" t="inlineStr">
        <is>
          <t>Step motor NEMA17</t>
        </is>
      </c>
      <c r="D21" s="6" t="inlineStr">
        <is>
          <t>0,47 Nm</t>
        </is>
      </c>
      <c r="E21" s="2" t="n">
        <v>3</v>
      </c>
      <c r="F21" s="2" t="inlineStr">
        <is>
          <t>adet</t>
        </is>
      </c>
      <c r="G21" s="3" t="n">
        <v>471.26</v>
      </c>
      <c r="H21" s="3">
        <f>IF(G21="","",E21*G21)</f>
        <v/>
      </c>
      <c r="I21" s="6" t="inlineStr">
        <is>
          <t>cnc-marketi</t>
        </is>
      </c>
      <c r="J21" s="8" t="inlineStr">
        <is>
          <t>https://www.cnc-marketi.com/urun/0-47-nm-step-motor-nema-17</t>
        </is>
      </c>
      <c r="K21" s="6" t="inlineStr">
        <is>
          <t>Stokta</t>
        </is>
      </c>
      <c r="L21" s="2" t="inlineStr">
        <is>
          <t>evet</t>
        </is>
      </c>
      <c r="M21" s="6" t="inlineStr">
        <is>
          <t>Alt.: NEMA23 2,2 Nm, Motorobit 1.800 TL.</t>
        </is>
      </c>
    </row>
    <row r="22">
      <c r="A22" s="2" t="n">
        <v>21</v>
      </c>
      <c r="B22" s="2" t="inlineStr">
        <is>
          <t>2 CNC portal</t>
        </is>
      </c>
      <c r="C22" s="6" t="inlineStr">
        <is>
          <t>Step sürücü TMC5160</t>
        </is>
      </c>
      <c r="D22" s="6" t="inlineStr">
        <is>
          <t>MKS TMC5160 PRO, SPI, dahili rampa üreteci</t>
        </is>
      </c>
      <c r="E22" s="2" t="n">
        <v>3</v>
      </c>
      <c r="F22" s="2" t="inlineStr">
        <is>
          <t>adet</t>
        </is>
      </c>
      <c r="G22" s="3" t="n">
        <v>1606.86</v>
      </c>
      <c r="H22" s="3">
        <f>IF(G22="","",E22*G22)</f>
        <v/>
      </c>
      <c r="I22" s="6" t="inlineStr">
        <is>
          <t>Rhino3D Printer</t>
        </is>
      </c>
      <c r="J22" s="8" t="inlineStr">
        <is>
          <t>https://www.rhino3dprinter.com/urun/mks-tmc5160-pro-step-motor-surucusu</t>
        </is>
      </c>
      <c r="K22" s="6" t="inlineStr">
        <is>
          <t>Stokta</t>
        </is>
      </c>
      <c r="L22" s="2" t="inlineStr">
        <is>
          <t>evet</t>
        </is>
      </c>
      <c r="M22" s="6" t="inlineStr">
        <is>
          <t>Ucuz alt.: TMC2209 V2.0, Motorobit 390 TL (≤29 V, rampa üreteci yok).</t>
        </is>
      </c>
    </row>
    <row r="23">
      <c r="A23" s="2" t="n">
        <v>22</v>
      </c>
      <c r="B23" s="2" t="inlineStr">
        <is>
          <t>2 CNC portal</t>
        </is>
      </c>
      <c r="C23" s="6" t="inlineStr">
        <is>
          <t>ER11 mil seti</t>
        </is>
      </c>
      <c r="D23" s="6" t="inlineStr">
        <is>
          <t>400 W, 12–48 V, 3–12k rpm, φ52, ER11 + braket + hız sürücüsü</t>
        </is>
      </c>
      <c r="E23" s="2" t="n">
        <v>1</v>
      </c>
      <c r="F23" s="2" t="inlineStr">
        <is>
          <t>set</t>
        </is>
      </c>
      <c r="G23" s="3" t="n">
        <v>6900</v>
      </c>
      <c r="H23" s="3">
        <f>IF(G23="","",E23*G23)</f>
        <v/>
      </c>
      <c r="I23" s="6" t="inlineStr">
        <is>
          <t>F1Depo</t>
        </is>
      </c>
      <c r="J23" s="8" t="inlineStr">
        <is>
          <t>https://www.f1depo.com/urun/0-4-kw-spindle-motor-er11-bracket-tutma-aparati</t>
        </is>
      </c>
      <c r="K23" s="6" t="inlineStr">
        <is>
          <t>Belirsiz ("Gelince haber ver")</t>
        </is>
      </c>
      <c r="L23" s="2" t="inlineStr">
        <is>
          <t>evet</t>
        </is>
      </c>
      <c r="M23" s="6" t="inlineStr">
        <is>
          <t>Stok teyit et. Alt.: Motorobit 200 W 12–48 V mil 2.220 TL + ER11 şaft tutucu 510 TL. Salgı (runout) ölçülmeli.</t>
        </is>
      </c>
    </row>
    <row r="24">
      <c r="A24" s="2" t="n">
        <v>23</v>
      </c>
      <c r="B24" s="2" t="inlineStr">
        <is>
          <t>2 CNC portal</t>
        </is>
      </c>
      <c r="C24" s="6" t="inlineStr">
        <is>
          <t>Mil güç kaynağı 48 V</t>
        </is>
      </c>
      <c r="D24" s="6" t="inlineStr">
        <is>
          <t>48 V 7,3 A, 350 W</t>
        </is>
      </c>
      <c r="E24" s="2" t="n">
        <v>1</v>
      </c>
      <c r="F24" s="2" t="inlineStr">
        <is>
          <t>adet</t>
        </is>
      </c>
      <c r="G24" s="3" t="n">
        <v>1859.76</v>
      </c>
      <c r="H24" s="3">
        <f>IF(G24="","",E24*G24)</f>
        <v/>
      </c>
      <c r="I24" s="6" t="inlineStr">
        <is>
          <t>Direnc.net</t>
        </is>
      </c>
      <c r="J24" s="8" t="inlineStr">
        <is>
          <t>https://www.direnc.net/24v-165a-metal-switch-mod-adaptor</t>
        </is>
      </c>
      <c r="K24" s="6" t="inlineStr">
        <is>
          <t>Stokta</t>
        </is>
      </c>
      <c r="L24" s="9" t="inlineStr">
        <is>
          <t>TEYİT ET</t>
        </is>
      </c>
      <c r="M24" s="6" t="inlineStr">
        <is>
          <t>Link adı "24V 16.5A" gösteriyor: 48 V model olduğunu siparişten önce teyit et.</t>
        </is>
      </c>
    </row>
    <row r="25">
      <c r="A25" s="2" t="n">
        <v>24</v>
      </c>
      <c r="B25" s="2" t="inlineStr">
        <is>
          <t>2 CNC portal</t>
        </is>
      </c>
      <c r="C25" s="6" t="inlineStr">
        <is>
          <t>ER11 pens 3,175 mm (1/8")</t>
        </is>
      </c>
      <c r="D25" s="6" t="inlineStr">
        <is>
          <t>PCB matkap/freze sapı için</t>
        </is>
      </c>
      <c r="E25" s="2" t="n">
        <v>2</v>
      </c>
      <c r="F25" s="2" t="inlineStr">
        <is>
          <t>adet</t>
        </is>
      </c>
      <c r="G25" s="3" t="n">
        <v>150</v>
      </c>
      <c r="H25" s="3">
        <f>IF(G25="","",E25*G25)</f>
        <v/>
      </c>
      <c r="I25" s="6" t="inlineStr">
        <is>
          <t>Motorobit</t>
        </is>
      </c>
      <c r="J25" s="8" t="inlineStr">
        <is>
          <t>https://www.motorobit.com/er11-3175mm-pens-18</t>
        </is>
      </c>
      <c r="K25" s="6" t="inlineStr">
        <is>
          <t>Stokta (6)</t>
        </is>
      </c>
      <c r="L25" s="2" t="inlineStr">
        <is>
          <t>evet</t>
        </is>
      </c>
      <c r="M25" s="6" t="inlineStr">
        <is>
          <t>cnc-marketi 7'li sette 3,175 YOK.</t>
        </is>
      </c>
    </row>
    <row r="26">
      <c r="A26" s="2" t="n">
        <v>25</v>
      </c>
      <c r="B26" s="2" t="inlineStr">
        <is>
          <t>2 CNC portal</t>
        </is>
      </c>
      <c r="C26" s="6" t="inlineStr">
        <is>
          <t>PCB matkap seti</t>
        </is>
      </c>
      <c r="D26" s="6" t="inlineStr">
        <is>
          <t>0,3–1,2 mm, 10 adet, 3,175 mm sap</t>
        </is>
      </c>
      <c r="E26" s="2" t="n">
        <v>2</v>
      </c>
      <c r="F26" s="2" t="inlineStr">
        <is>
          <t>set</t>
        </is>
      </c>
      <c r="G26" s="3" t="n">
        <v>270</v>
      </c>
      <c r="H26" s="3">
        <f>IF(G26="","",E26*G26)</f>
        <v/>
      </c>
      <c r="I26" s="6" t="inlineStr">
        <is>
          <t>Motorobit</t>
        </is>
      </c>
      <c r="J26" s="8" t="inlineStr">
        <is>
          <t>https://www.motorobit.com/pcb-matkap-ucu-seti-03-1</t>
        </is>
      </c>
      <c r="K26" s="6" t="inlineStr">
        <is>
          <t>Stokta (31)</t>
        </is>
      </c>
      <c r="L26" s="2" t="inlineStr">
        <is>
          <t>evet</t>
        </is>
      </c>
      <c r="M26" s="6" t="inlineStr">
        <is>
          <t>3 mm pim delikleri için ayrı 3,0 mm karbür matkap gerekir (aranmadı).</t>
        </is>
      </c>
    </row>
    <row r="27">
      <c r="A27" s="2" t="n">
        <v>26</v>
      </c>
      <c r="B27" s="2" t="inlineStr">
        <is>
          <t>2 CNC portal</t>
        </is>
      </c>
      <c r="C27" s="6" t="inlineStr">
        <is>
          <t>Kenar frezesi</t>
        </is>
      </c>
      <c r="D27" s="6" t="inlineStr">
        <is>
          <t>Karbür "elmas/mısır koçanı" 1,6 mm, 3,17 mm sap</t>
        </is>
      </c>
      <c r="E27" s="2" t="n">
        <v>3</v>
      </c>
      <c r="F27" s="2" t="inlineStr">
        <is>
          <t>adet</t>
        </is>
      </c>
      <c r="G27" s="3" t="n">
        <v>150</v>
      </c>
      <c r="H27" s="3">
        <f>IF(G27="","",E27*G27)</f>
        <v/>
      </c>
      <c r="I27" s="6" t="inlineStr">
        <is>
          <t>Motorobit</t>
        </is>
      </c>
      <c r="J27" s="8" t="inlineStr">
        <is>
          <t>https://www.motorobit.com/elmas-freze-matkap-ucu-160mm-x-11mm</t>
        </is>
      </c>
      <c r="K27" s="6" t="inlineStr">
        <is>
          <t>Stokta</t>
        </is>
      </c>
      <c r="L27" s="2" t="inlineStr">
        <is>
          <t>evet</t>
        </is>
      </c>
      <c r="M27" s="6" t="inlineStr">
        <is>
          <t>1,85/2,05/2,45 mm de var.</t>
        </is>
      </c>
    </row>
    <row r="28">
      <c r="A28" s="2" t="n">
        <v>27</v>
      </c>
      <c r="B28" s="2" t="inlineStr">
        <is>
          <t>2 CNC portal</t>
        </is>
      </c>
      <c r="C28" s="6" t="inlineStr">
        <is>
          <t>Sigma profil 40x40</t>
        </is>
      </c>
      <c r="D28" s="6" t="inlineStr">
        <is>
          <t>8 kanal hafif, ücretsiz kesim</t>
        </is>
      </c>
      <c r="E28" s="2" t="n">
        <v>3</v>
      </c>
      <c r="F28" s="2" t="inlineStr">
        <is>
          <t>m</t>
        </is>
      </c>
      <c r="G28" s="3" t="n">
        <v>774.84</v>
      </c>
      <c r="H28" s="3">
        <f>IF(G28="","",E28*G28)</f>
        <v/>
      </c>
      <c r="I28" s="6" t="inlineStr">
        <is>
          <t>cnc-marketi</t>
        </is>
      </c>
      <c r="J28" s="8" t="inlineStr">
        <is>
          <t>https://www.cnc-marketi.com/urun/sigma-profil-40x40-sigma-profil-8-kanal</t>
        </is>
      </c>
      <c r="K28" s="6" t="inlineStr">
        <is>
          <t>Stokta (289 m)</t>
        </is>
      </c>
      <c r="L28" s="2" t="inlineStr">
        <is>
          <t>evet</t>
        </is>
      </c>
      <c r="M28" s="6" t="inlineStr">
        <is>
          <t>Alüminyum plaka (tabla, Z plakası) için yerel lazer/CNC kesimciden teklif.</t>
        </is>
      </c>
    </row>
    <row r="29">
      <c r="A29" s="2" t="n">
        <v>28</v>
      </c>
      <c r="B29" s="2" t="inlineStr">
        <is>
          <t>2 CNC portal</t>
        </is>
      </c>
      <c r="C29" s="6" t="inlineStr">
        <is>
          <t>Köşe bağlantı 40x40 K8</t>
        </is>
      </c>
      <c r="D29" s="6" t="inlineStr">
        <is>
          <t>Geniş köşe</t>
        </is>
      </c>
      <c r="E29" s="2" t="n">
        <v>16</v>
      </c>
      <c r="F29" s="2" t="inlineStr">
        <is>
          <t>adet</t>
        </is>
      </c>
      <c r="G29" s="3" t="n">
        <v>38.51</v>
      </c>
      <c r="H29" s="3">
        <f>IF(G29="","",E29*G29)</f>
        <v/>
      </c>
      <c r="I29" s="6" t="inlineStr">
        <is>
          <t>cnc-marketi</t>
        </is>
      </c>
      <c r="J29" s="8" t="inlineStr">
        <is>
          <t>https://www.cnc-marketi.com/urun/genis-kose-baglanti-40x40-k8</t>
        </is>
      </c>
      <c r="K29" s="6" t="inlineStr">
        <is>
          <t>Stokta</t>
        </is>
      </c>
      <c r="L29" s="2" t="inlineStr">
        <is>
          <t>evet</t>
        </is>
      </c>
      <c r="M29" s="6" t="inlineStr"/>
    </row>
    <row r="30">
      <c r="A30" s="2" t="n">
        <v>29</v>
      </c>
      <c r="B30" s="2" t="inlineStr">
        <is>
          <t>2 CNC portal</t>
        </is>
      </c>
      <c r="C30" s="6" t="inlineStr">
        <is>
          <t>T-somun M5 K8</t>
        </is>
      </c>
      <c r="D30" s="6" t="inlineStr"/>
      <c r="E30" s="2" t="n">
        <v>100</v>
      </c>
      <c r="F30" s="2" t="inlineStr">
        <is>
          <t>adet</t>
        </is>
      </c>
      <c r="G30" s="3" t="n">
        <v>3.67</v>
      </c>
      <c r="H30" s="3">
        <f>IF(G30="","",E30*G30)</f>
        <v/>
      </c>
      <c r="I30" s="6" t="inlineStr">
        <is>
          <t>cnc-marketi</t>
        </is>
      </c>
      <c r="J30" s="8" t="inlineStr">
        <is>
          <t>https://www.cnc-marketi.com/urun/t-kanal-somunu-m5-30x30-k8</t>
        </is>
      </c>
      <c r="K30" s="6" t="inlineStr">
        <is>
          <t>Stokta</t>
        </is>
      </c>
      <c r="L30" s="2" t="inlineStr">
        <is>
          <t>evet</t>
        </is>
      </c>
      <c r="M30" s="6" t="inlineStr"/>
    </row>
    <row r="31">
      <c r="A31" s="2" t="n">
        <v>30</v>
      </c>
      <c r="B31" s="2" t="inlineStr">
        <is>
          <t>2 CNC portal</t>
        </is>
      </c>
      <c r="C31" s="6" t="inlineStr">
        <is>
          <t>Endüktif limit sensörü</t>
        </is>
      </c>
      <c r="D31" s="6" t="inlineStr">
        <is>
          <t>LJ12A3-4-Z/BX, NPN</t>
        </is>
      </c>
      <c r="E31" s="2" t="n">
        <v>3</v>
      </c>
      <c r="F31" s="2" t="inlineStr">
        <is>
          <t>adet</t>
        </is>
      </c>
      <c r="G31" s="3" t="n">
        <v>116.24</v>
      </c>
      <c r="H31" s="3">
        <f>IF(G31="","",E31*G31)</f>
        <v/>
      </c>
      <c r="I31" s="6" t="inlineStr">
        <is>
          <t>Direnc.net</t>
        </is>
      </c>
      <c r="J31" s="8" t="inlineStr">
        <is>
          <t>https://www.direnc.net/enduktif-npn-proximity-sensor-lj12a3-4-zbx</t>
        </is>
      </c>
      <c r="K31" s="6" t="inlineStr">
        <is>
          <t>Stokta (152)</t>
        </is>
      </c>
      <c r="L31" s="2" t="inlineStr">
        <is>
          <t>evet</t>
        </is>
      </c>
      <c r="M31" s="6" t="inlineStr">
        <is>
          <t>Alt.: mekanik ME-8111, Motorobit 126 TL.</t>
        </is>
      </c>
    </row>
    <row r="32">
      <c r="A32" s="2" t="n">
        <v>31</v>
      </c>
      <c r="B32" s="2" t="inlineStr">
        <is>
          <t>2 CNC portal</t>
        </is>
      </c>
      <c r="C32" s="6" t="inlineStr">
        <is>
          <t>Takım sıfırlama probu</t>
        </is>
      </c>
      <c r="D32" s="6" t="inlineStr">
        <is>
          <t>Yaylı Z probu</t>
        </is>
      </c>
      <c r="E32" s="2" t="n">
        <v>1</v>
      </c>
      <c r="F32" s="2" t="inlineStr">
        <is>
          <t>adet</t>
        </is>
      </c>
      <c r="G32" s="3" t="n">
        <v>2358.33</v>
      </c>
      <c r="H32" s="3">
        <f>IF(G32="","",E32*G32)</f>
        <v/>
      </c>
      <c r="I32" s="6" t="inlineStr">
        <is>
          <t>Meon Otomasyon</t>
        </is>
      </c>
      <c r="J32" s="8" t="inlineStr">
        <is>
          <t>https://www.meonotomasyon.com/urun/cnc-takim-sifirlama-probu</t>
        </is>
      </c>
      <c r="K32" s="6" t="inlineStr">
        <is>
          <t>Muhtemelen stokta</t>
        </is>
      </c>
      <c r="L32" s="2" t="inlineStr">
        <is>
          <t>evet</t>
        </is>
      </c>
      <c r="M32" s="6" t="inlineStr">
        <is>
          <t>Yükseklik haritası için bakır–uç süreklilik probu (iki kablo) da yeter.</t>
        </is>
      </c>
    </row>
    <row r="33">
      <c r="A33" s="2" t="n">
        <v>32</v>
      </c>
      <c r="B33" s="2" t="inlineStr">
        <is>
          <t>2 CNC portal</t>
        </is>
      </c>
      <c r="C33" s="6" t="inlineStr">
        <is>
          <t>Konum pimi 3 mm</t>
        </is>
      </c>
      <c r="D33" s="6" t="inlineStr">
        <is>
          <t>DIN 6325 / ISO 8734, sertleştirilmiş, 3x20 mm</t>
        </is>
      </c>
      <c r="E33" s="2" t="n">
        <v>10</v>
      </c>
      <c r="F33" s="2" t="inlineStr">
        <is>
          <t>adet</t>
        </is>
      </c>
      <c r="G33" s="3" t="n"/>
      <c r="H33" s="3">
        <f>IF(G33="","",E33*G33)</f>
        <v/>
      </c>
      <c r="I33" s="6" t="inlineStr">
        <is>
          <t>RS Components TR</t>
        </is>
      </c>
      <c r="J33" s="8" t="inlineStr">
        <is>
          <t>https://tr.rsdelivers.com/product/rs-pro//rs-pro-duz-tespit-pimi-cap-3mm-20mm-celik/0270568</t>
        </is>
      </c>
      <c r="K33" s="6" t="inlineStr">
        <is>
          <t>Teklif</t>
        </is>
      </c>
      <c r="L33" s="9" t="inlineStr">
        <is>
          <t>hayır</t>
        </is>
      </c>
      <c r="M33" s="6" t="inlineStr">
        <is>
          <t>Fiyat görülmedi. Alt.: Norelem/KIPP TR teklif, Amazon.com.tr ilanları (açılmadı).</t>
        </is>
      </c>
    </row>
    <row r="34">
      <c r="A34" s="2" t="n">
        <v>33</v>
      </c>
      <c r="B34" s="2" t="inlineStr">
        <is>
          <t>3 Islak istasyon</t>
        </is>
      </c>
      <c r="C34" s="6" t="inlineStr">
        <is>
          <t>PP kapaklı tank</t>
        </is>
      </c>
      <c r="D34" s="6" t="inlineStr">
        <is>
          <t>IKEA 365+ 4,2 L, 21x15x23 cm, kap+kapak PP</t>
        </is>
      </c>
      <c r="E34" s="2" t="n">
        <v>4</v>
      </c>
      <c r="F34" s="2" t="inlineStr">
        <is>
          <t>adet</t>
        </is>
      </c>
      <c r="G34" s="3" t="n">
        <v>329</v>
      </c>
      <c r="H34" s="3">
        <f>IF(G34="","",E34*G34)</f>
        <v/>
      </c>
      <c r="I34" s="6" t="inlineStr">
        <is>
          <t>IKEA</t>
        </is>
      </c>
      <c r="J34" s="8" t="inlineStr">
        <is>
          <t>https://www.ikea.com.tr/urun/ikea-365--plastik-4-2-lt-kapakli-plastik-saklama-kabi-59276822</t>
        </is>
      </c>
      <c r="K34" s="6" t="inlineStr">
        <is>
          <t>Stokta</t>
        </is>
      </c>
      <c r="L34" s="2" t="inlineStr">
        <is>
          <t>evet</t>
        </is>
      </c>
      <c r="M34" s="6" t="inlineStr">
        <is>
          <t>Banyo / aşındırma / sökme / durulama. 100 mm kart dik sığar.</t>
        </is>
      </c>
    </row>
    <row r="35">
      <c r="A35" s="2" t="n">
        <v>34</v>
      </c>
      <c r="B35" s="2" t="inlineStr">
        <is>
          <t>3 Islak istasyon</t>
        </is>
      </c>
      <c r="C35" s="6" t="inlineStr">
        <is>
          <t>Isıtıcı</t>
        </is>
      </c>
      <c r="D35" s="6" t="inlineStr">
        <is>
          <t>Newa Therm 50 W, cam tüp, termostatlı</t>
        </is>
      </c>
      <c r="E35" s="2" t="n">
        <v>1</v>
      </c>
      <c r="F35" s="2" t="inlineStr">
        <is>
          <t>adet</t>
        </is>
      </c>
      <c r="G35" s="3" t="n">
        <v>1554.08</v>
      </c>
      <c r="H35" s="3">
        <f>IF(G35="","",E35*G35)</f>
        <v/>
      </c>
      <c r="I35" s="6" t="inlineStr">
        <is>
          <t>Evcilal</t>
        </is>
      </c>
      <c r="J35" s="8" t="inlineStr">
        <is>
          <t>https://www.evcilal.com/urun/newa-therm-50-w</t>
        </is>
      </c>
      <c r="K35" s="6" t="inlineStr">
        <is>
          <t>Stokta</t>
        </is>
      </c>
      <c r="L35" s="2" t="inlineStr">
        <is>
          <t>evet</t>
        </is>
      </c>
      <c r="M35" s="6" t="inlineStr">
        <is>
          <t>Akvaryum termostatı ~32–34 °C'de keser (tipik): 40–50 °C için ESP32 + SSR ile sür. Titanyum küçük ısıtıcı TR'de yok.</t>
        </is>
      </c>
    </row>
    <row r="36">
      <c r="A36" s="2" t="n">
        <v>35</v>
      </c>
      <c r="B36" s="2" t="inlineStr">
        <is>
          <t>3 Islak istasyon</t>
        </is>
      </c>
      <c r="C36" s="6" t="inlineStr">
        <is>
          <t>Hava pompası</t>
        </is>
      </c>
      <c r="D36" s="6" t="inlineStr">
        <is>
          <t>Sobo SB-666A, çift çıkış, 5 W, 2x4 L/dk</t>
        </is>
      </c>
      <c r="E36" s="2" t="n">
        <v>1</v>
      </c>
      <c r="F36" s="2" t="inlineStr">
        <is>
          <t>adet</t>
        </is>
      </c>
      <c r="G36" s="3" t="n">
        <v>375</v>
      </c>
      <c r="H36" s="3">
        <f>IF(G36="","",E36*G36)</f>
        <v/>
      </c>
      <c r="I36" s="6" t="inlineStr">
        <is>
          <t>Mixpet</t>
        </is>
      </c>
      <c r="J36" s="8" t="inlineStr">
        <is>
          <t>https://www.mixpet.com.tr/sobo-cift-cikisli-akvaryum-hava-motoru-5w-2x4lt/dak-sb-666a</t>
        </is>
      </c>
      <c r="K36" s="6" t="inlineStr">
        <is>
          <t>Stokta</t>
        </is>
      </c>
      <c r="L36" s="2" t="inlineStr">
        <is>
          <t>evet</t>
        </is>
      </c>
      <c r="M36" s="6" t="inlineStr">
        <is>
          <t>Pompayı sıvı seviyesinin üstüne koy.</t>
        </is>
      </c>
    </row>
    <row r="37">
      <c r="A37" s="2" t="n">
        <v>36</v>
      </c>
      <c r="B37" s="2" t="inlineStr">
        <is>
          <t>3 Islak istasyon</t>
        </is>
      </c>
      <c r="C37" s="6" t="inlineStr">
        <is>
          <t>Silikon hava hortumu</t>
        </is>
      </c>
      <c r="D37" s="6" t="inlineStr">
        <is>
          <t>4x6 mm, 5 m</t>
        </is>
      </c>
      <c r="E37" s="2" t="n">
        <v>1</v>
      </c>
      <c r="F37" s="2" t="inlineStr">
        <is>
          <t>adet</t>
        </is>
      </c>
      <c r="G37" s="3" t="n">
        <v>75</v>
      </c>
      <c r="H37" s="3">
        <f>IF(G37="","",E37*G37)</f>
        <v/>
      </c>
      <c r="I37" s="6" t="inlineStr">
        <is>
          <t>Badem Akvaryum</t>
        </is>
      </c>
      <c r="J37" s="8" t="inlineStr">
        <is>
          <t>https://www.bademakvaryum.com/akvaryum-hava-hortumu-silikonlu-5-metre-1199</t>
        </is>
      </c>
      <c r="K37" s="6" t="inlineStr">
        <is>
          <t>Stokta</t>
        </is>
      </c>
      <c r="L37" s="2" t="inlineStr">
        <is>
          <t>evet</t>
        </is>
      </c>
      <c r="M37" s="6" t="inlineStr"/>
    </row>
    <row r="38">
      <c r="A38" s="2" t="n">
        <v>37</v>
      </c>
      <c r="B38" s="2" t="inlineStr">
        <is>
          <t>3 Islak istasyon</t>
        </is>
      </c>
      <c r="C38" s="6" t="inlineStr">
        <is>
          <t>Çekvalf</t>
        </is>
      </c>
      <c r="D38" s="6" t="inlineStr">
        <is>
          <t>4/6 mm</t>
        </is>
      </c>
      <c r="E38" s="2" t="n">
        <v>2</v>
      </c>
      <c r="F38" s="2" t="inlineStr">
        <is>
          <t>adet</t>
        </is>
      </c>
      <c r="G38" s="3" t="n">
        <v>30</v>
      </c>
      <c r="H38" s="3">
        <f>IF(G38="","",E38*G38)</f>
        <v/>
      </c>
      <c r="I38" s="6" t="inlineStr">
        <is>
          <t>Badem Akvaryum</t>
        </is>
      </c>
      <c r="J38" s="8" t="inlineStr">
        <is>
          <t>https://www.bademakvaryum.com/akvaryum-cek-valf-hava-hortum-aparati-385</t>
        </is>
      </c>
      <c r="K38" s="6" t="inlineStr">
        <is>
          <t>Stokta</t>
        </is>
      </c>
      <c r="L38" s="2" t="inlineStr">
        <is>
          <t>evet</t>
        </is>
      </c>
      <c r="M38" s="6" t="inlineStr">
        <is>
          <t>Şart: asit pompaya geri emilmesin.</t>
        </is>
      </c>
    </row>
    <row r="39">
      <c r="A39" s="2" t="n">
        <v>38</v>
      </c>
      <c r="B39" s="2" t="inlineStr">
        <is>
          <t>3 Islak istasyon</t>
        </is>
      </c>
      <c r="C39" s="6" t="inlineStr">
        <is>
          <t>Hava taşı</t>
        </is>
      </c>
      <c r="D39" s="6" t="inlineStr">
        <is>
          <t>Düz, 15 cm</t>
        </is>
      </c>
      <c r="E39" s="2" t="n">
        <v>1</v>
      </c>
      <c r="F39" s="2" t="inlineStr">
        <is>
          <t>adet</t>
        </is>
      </c>
      <c r="G39" s="3" t="n">
        <v>70</v>
      </c>
      <c r="H39" s="3">
        <f>IF(G39="","",E39*G39)</f>
        <v/>
      </c>
      <c r="I39" s="6" t="inlineStr">
        <is>
          <t>Badem Akvaryum</t>
        </is>
      </c>
      <c r="J39" s="8" t="inlineStr">
        <is>
          <t>https://www.bademakvaryum.com/akvaryum-hava-tasi-duz-15-cm-630</t>
        </is>
      </c>
      <c r="K39" s="6" t="inlineStr">
        <is>
          <t>Stokta</t>
        </is>
      </c>
      <c r="L39" s="2" t="inlineStr">
        <is>
          <t>evet</t>
        </is>
      </c>
      <c r="M39" s="6" t="inlineStr">
        <is>
          <t>Seramik/mineral taş asitte dağılabilir: en sağlamı delikli PP boru.</t>
        </is>
      </c>
    </row>
    <row r="40">
      <c r="A40" s="2" t="n">
        <v>39</v>
      </c>
      <c r="B40" s="2" t="inlineStr">
        <is>
          <t>3 Islak istasyon</t>
        </is>
      </c>
      <c r="C40" s="6" t="inlineStr">
        <is>
          <t>ORP elektrodu (BNC)</t>
        </is>
      </c>
      <c r="D40" s="6" t="inlineStr">
        <is>
          <t>SEKO, ±1000 mV, 60 °C, epoksi gövde, 1,5 m kablo</t>
        </is>
      </c>
      <c r="E40" s="2" t="n">
        <v>1</v>
      </c>
      <c r="F40" s="2" t="inlineStr">
        <is>
          <t>adet</t>
        </is>
      </c>
      <c r="G40" s="3" t="n">
        <v>8146.67</v>
      </c>
      <c r="H40" s="3">
        <f>IF(G40="","",E40*G40)</f>
        <v/>
      </c>
      <c r="I40" s="6" t="inlineStr">
        <is>
          <t>Havuzdan.com</t>
        </is>
      </c>
      <c r="J40" s="8" t="inlineStr">
        <is>
          <t>https://www.havuzdan.com/urun/seko-dozaj-pompasi-orp-elektrodu-1-5-mt-kabloluwf-sk</t>
        </is>
      </c>
      <c r="K40" s="6" t="inlineStr">
        <is>
          <t>Sayfada yazmıyor</t>
        </is>
      </c>
      <c r="L40" s="2" t="inlineStr">
        <is>
          <t>evet</t>
        </is>
      </c>
      <c r="M40" s="6" t="inlineStr">
        <is>
          <t>Alt.: ISOLAB ORP probu 7.225,44 TL (interlab); EMEC ERHL 9.576 TL (sentezlab). Ucuz BNC problar yurt dışından.</t>
        </is>
      </c>
    </row>
    <row r="41">
      <c r="A41" s="2" t="n">
        <v>40</v>
      </c>
      <c r="B41" s="2" t="inlineStr">
        <is>
          <t>3 Islak istasyon</t>
        </is>
      </c>
      <c r="C41" s="6" t="inlineStr">
        <is>
          <t>ORP için ADC</t>
        </is>
      </c>
      <c r="D41" s="6" t="inlineStr">
        <is>
          <t>ADS1115 16-bit 4 kanal ADC (+ op-amp tampon devresi kendin)</t>
        </is>
      </c>
      <c r="E41" s="2" t="n">
        <v>1</v>
      </c>
      <c r="F41" s="2" t="inlineStr">
        <is>
          <t>adet</t>
        </is>
      </c>
      <c r="G41" s="3" t="n">
        <v>134.44</v>
      </c>
      <c r="H41" s="3">
        <f>IF(G41="","",E41*G41)</f>
        <v/>
      </c>
      <c r="I41" s="6" t="inlineStr">
        <is>
          <t>Robotistan</t>
        </is>
      </c>
      <c r="J41" s="8" t="inlineStr">
        <is>
          <t>https://www.robotistan.com/ads1115-16-bit-4-kanal-adc</t>
        </is>
      </c>
      <c r="K41" s="6" t="inlineStr">
        <is>
          <t>Stokta (157)</t>
        </is>
      </c>
      <c r="L41" s="2" t="inlineStr">
        <is>
          <t>evet</t>
        </is>
      </c>
      <c r="M41" s="6" t="inlineStr">
        <is>
          <t>Hazır DFRobot SEN0165 ORP kartı TR'de yok → Yurt dışı.</t>
        </is>
      </c>
    </row>
    <row r="42">
      <c r="A42" s="2" t="n">
        <v>41</v>
      </c>
      <c r="B42" s="2" t="inlineStr">
        <is>
          <t>3 Islak istasyon</t>
        </is>
      </c>
      <c r="C42" s="6" t="inlineStr">
        <is>
          <t>Peristaltik pompa</t>
        </is>
      </c>
      <c r="D42" s="6" t="inlineStr">
        <is>
          <t>12 V, PharMed BPT hortum, ≥47 ml/dk (NKP-DC-B08D)</t>
        </is>
      </c>
      <c r="E42" s="2" t="n">
        <v>2</v>
      </c>
      <c r="F42" s="2" t="inlineStr">
        <is>
          <t>adet</t>
        </is>
      </c>
      <c r="G42" s="3" t="n">
        <v>553.3099999999999</v>
      </c>
      <c r="H42" s="3">
        <f>IF(G42="","",E42*G42)</f>
        <v/>
      </c>
      <c r="I42" s="6" t="inlineStr">
        <is>
          <t>Robotistan</t>
        </is>
      </c>
      <c r="J42" s="8" t="inlineStr">
        <is>
          <t>https://www.robotistan.com/12-v-peristaltik-sivi-pompasi-bpt-tup-nkp-dc-b08d</t>
        </is>
      </c>
      <c r="K42" s="6" t="inlineStr">
        <is>
          <t>Stokta (28)</t>
        </is>
      </c>
      <c r="L42" s="2" t="inlineStr">
        <is>
          <t>evet</t>
        </is>
      </c>
      <c r="M42" s="6" t="inlineStr">
        <is>
          <t>HCl/H2O2 için BPT hortum şart (silikon değil). Yedek hortum al. Alt.: Kamoer B08G, Motorobit 690 TL.</t>
        </is>
      </c>
    </row>
    <row r="43">
      <c r="A43" s="2" t="n">
        <v>42</v>
      </c>
      <c r="B43" s="2" t="inlineStr">
        <is>
          <t>3 Islak istasyon</t>
        </is>
      </c>
      <c r="C43" s="6" t="inlineStr">
        <is>
          <t>DS18B20 su geçirmez</t>
        </is>
      </c>
      <c r="D43" s="6" t="inlineStr">
        <is>
          <t>6x30 mm paslanmaz kılıf, 1 m</t>
        </is>
      </c>
      <c r="E43" s="2" t="n">
        <v>2</v>
      </c>
      <c r="F43" s="2" t="inlineStr">
        <is>
          <t>adet</t>
        </is>
      </c>
      <c r="G43" s="3" t="n">
        <v>75.89</v>
      </c>
      <c r="H43" s="3">
        <f>IF(G43="","",E43*G43)</f>
        <v/>
      </c>
      <c r="I43" s="6" t="inlineStr">
        <is>
          <t>Robotistan</t>
        </is>
      </c>
      <c r="J43" s="8" t="inlineStr">
        <is>
          <t>https://www.robotistan.com/su-gecirmez-ds18b20-dijital-isi-sensoru</t>
        </is>
      </c>
      <c r="K43" s="6" t="inlineStr">
        <is>
          <t>Stokta (213)</t>
        </is>
      </c>
      <c r="L43" s="2" t="inlineStr">
        <is>
          <t>evet</t>
        </is>
      </c>
      <c r="M43" s="6" t="inlineStr">
        <is>
          <t>Paslanmaz kılıf CuCl2/HCl'de aşınır: PTFE makaron ya da cam kılıfa al.</t>
        </is>
      </c>
    </row>
    <row r="44">
      <c r="A44" s="2" t="n">
        <v>43</v>
      </c>
      <c r="B44" s="2" t="inlineStr">
        <is>
          <t>3 Islak istasyon</t>
        </is>
      </c>
      <c r="C44" s="6" t="inlineStr">
        <is>
          <t>Tuz ruhu (HCl)</t>
        </is>
      </c>
      <c r="D44" s="6" t="inlineStr">
        <is>
          <t>1 kg (yüzde sayfada yok)</t>
        </is>
      </c>
      <c r="E44" s="2" t="n">
        <v>2</v>
      </c>
      <c r="F44" s="2" t="inlineStr">
        <is>
          <t>kg</t>
        </is>
      </c>
      <c r="G44" s="3" t="n">
        <v>100</v>
      </c>
      <c r="H44" s="3">
        <f>IF(G44="","",E44*G44)</f>
        <v/>
      </c>
      <c r="I44" s="6" t="inlineStr">
        <is>
          <t>ehammaddem</t>
        </is>
      </c>
      <c r="J44" s="8" t="inlineStr">
        <is>
          <t>https://ehammaddem.com/products/hidroklorik-asit-tuz-ruhu-1-kg</t>
        </is>
      </c>
      <c r="K44" s="6" t="inlineStr">
        <is>
          <t>Stokta</t>
        </is>
      </c>
      <c r="L44" s="2" t="inlineStr">
        <is>
          <t>evet</t>
        </is>
      </c>
      <c r="M44" s="6" t="inlineStr">
        <is>
          <t>Yoğunluğu ölç. Alt.: Kimyacınız %33 125 TL (yalnız mağazadan teslim).</t>
        </is>
      </c>
    </row>
    <row r="45">
      <c r="A45" s="2" t="n">
        <v>44</v>
      </c>
      <c r="B45" s="2" t="inlineStr">
        <is>
          <t>3 Islak istasyon</t>
        </is>
      </c>
      <c r="C45" s="6" t="inlineStr">
        <is>
          <t>Hidrojen peroksit %50</t>
        </is>
      </c>
      <c r="D45" s="6" t="inlineStr">
        <is>
          <t>Perhidrol, 1 L</t>
        </is>
      </c>
      <c r="E45" s="2" t="n">
        <v>1</v>
      </c>
      <c r="F45" s="2" t="inlineStr">
        <is>
          <t>L</t>
        </is>
      </c>
      <c r="G45" s="3" t="n">
        <v>200</v>
      </c>
      <c r="H45" s="3">
        <f>IF(G45="","",E45*G45)</f>
        <v/>
      </c>
      <c r="I45" s="6" t="inlineStr">
        <is>
          <t>ehammaddem</t>
        </is>
      </c>
      <c r="J45" s="8" t="inlineStr">
        <is>
          <t>https://ehammaddem.com/products/hidrojen-peroksit-perhidrol-50-1-litre</t>
        </is>
      </c>
      <c r="K45" s="6" t="inlineStr">
        <is>
          <t>Stokta</t>
        </is>
      </c>
      <c r="L45" s="2" t="inlineStr">
        <is>
          <t>evet</t>
        </is>
      </c>
      <c r="M45" s="6" t="inlineStr">
        <is>
          <t>ADR sınıf 5.1: kargo reddedebilir. Alt.: Kimyacınız %50 1 kg 175 TL.</t>
        </is>
      </c>
    </row>
    <row r="46">
      <c r="A46" s="2" t="n">
        <v>45</v>
      </c>
      <c r="B46" s="2" t="inlineStr">
        <is>
          <t>3 Islak istasyon</t>
        </is>
      </c>
      <c r="C46" s="6" t="inlineStr">
        <is>
          <t>Kostik (NaOH)</t>
        </is>
      </c>
      <c r="D46" s="6" t="inlineStr">
        <is>
          <t>Boncuk, 1 kg</t>
        </is>
      </c>
      <c r="E46" s="2" t="n">
        <v>1</v>
      </c>
      <c r="F46" s="2" t="inlineStr">
        <is>
          <t>kg</t>
        </is>
      </c>
      <c r="G46" s="3" t="n">
        <v>180</v>
      </c>
      <c r="H46" s="3">
        <f>IF(G46="","",E46*G46)</f>
        <v/>
      </c>
      <c r="I46" s="6" t="inlineStr">
        <is>
          <t>ehammaddem</t>
        </is>
      </c>
      <c r="J46" s="8" t="inlineStr">
        <is>
          <t>https://ehammaddem.com/products/sodyum-hidroksit-boncuk-kostik-1-kg</t>
        </is>
      </c>
      <c r="K46" s="6" t="inlineStr">
        <is>
          <t>Stokta</t>
        </is>
      </c>
      <c r="L46" s="2" t="inlineStr">
        <is>
          <t>evet</t>
        </is>
      </c>
      <c r="M46" s="6" t="inlineStr">
        <is>
          <t>Pozitif lak banyosu 7 g/L.</t>
        </is>
      </c>
    </row>
    <row r="47">
      <c r="A47" s="2" t="n">
        <v>46</v>
      </c>
      <c r="B47" s="2" t="inlineStr">
        <is>
          <t>3 Islak istasyon</t>
        </is>
      </c>
      <c r="C47" s="6" t="inlineStr">
        <is>
          <t>Sodyum karbonat</t>
        </is>
      </c>
      <c r="D47" s="6" t="inlineStr">
        <is>
          <t>Toz çamaşır sodası, 1 kg</t>
        </is>
      </c>
      <c r="E47" s="2" t="n">
        <v>1</v>
      </c>
      <c r="F47" s="2" t="inlineStr">
        <is>
          <t>kg</t>
        </is>
      </c>
      <c r="G47" s="3" t="n">
        <v>75</v>
      </c>
      <c r="H47" s="3">
        <f>IF(G47="","",E47*G47)</f>
        <v/>
      </c>
      <c r="I47" s="6" t="inlineStr">
        <is>
          <t>ehammaddem</t>
        </is>
      </c>
      <c r="J47" s="8" t="inlineStr">
        <is>
          <t>https://ehammaddem.com/products/sodyum-karbonat-toz-camasir-sodasi-1-kg</t>
        </is>
      </c>
      <c r="K47" s="6" t="inlineStr">
        <is>
          <t>Stokta</t>
        </is>
      </c>
      <c r="L47" s="2" t="inlineStr">
        <is>
          <t>evet</t>
        </is>
      </c>
      <c r="M47" s="6" t="inlineStr">
        <is>
          <t>Dry film banyosu %1.</t>
        </is>
      </c>
    </row>
    <row r="48">
      <c r="A48" s="2" t="n">
        <v>47</v>
      </c>
      <c r="B48" s="2" t="inlineStr">
        <is>
          <t>3 Islak istasyon</t>
        </is>
      </c>
      <c r="C48" s="6" t="inlineStr">
        <is>
          <t>Aseton</t>
        </is>
      </c>
      <c r="D48" s="6" t="inlineStr">
        <is>
          <t>1 L</t>
        </is>
      </c>
      <c r="E48" s="2" t="n">
        <v>1</v>
      </c>
      <c r="F48" s="2" t="inlineStr">
        <is>
          <t>L</t>
        </is>
      </c>
      <c r="G48" s="3" t="n">
        <v>200</v>
      </c>
      <c r="H48" s="3">
        <f>IF(G48="","",E48*G48)</f>
        <v/>
      </c>
      <c r="I48" s="6" t="inlineStr">
        <is>
          <t>Kimyacınız</t>
        </is>
      </c>
      <c r="J48" s="8" t="inlineStr">
        <is>
          <t>https://www.kimyaciniz.com/aseton-1-lt</t>
        </is>
      </c>
      <c r="K48" s="6" t="inlineStr">
        <is>
          <t>Stokta</t>
        </is>
      </c>
      <c r="L48" s="2" t="inlineStr">
        <is>
          <t>evet</t>
        </is>
      </c>
      <c r="M48" s="6" t="inlineStr">
        <is>
          <t>Sayfa "şahıslara satış yapılmaz" diyor; hırdavat/eczaneden de alınır.</t>
        </is>
      </c>
    </row>
    <row r="49">
      <c r="A49" s="2" t="n">
        <v>48</v>
      </c>
      <c r="B49" s="2" t="inlineStr">
        <is>
          <t>3 Islak istasyon</t>
        </is>
      </c>
      <c r="C49" s="6" t="inlineStr">
        <is>
          <t>Distile su</t>
        </is>
      </c>
      <c r="D49" s="6" t="inlineStr">
        <is>
          <t>0,00–0,02 ppm, 5 L</t>
        </is>
      </c>
      <c r="E49" s="2" t="n">
        <v>1</v>
      </c>
      <c r="F49" s="2" t="inlineStr">
        <is>
          <t>adet</t>
        </is>
      </c>
      <c r="G49" s="3" t="n">
        <v>400</v>
      </c>
      <c r="H49" s="3">
        <f>IF(G49="","",E49*G49)</f>
        <v/>
      </c>
      <c r="I49" s="6" t="inlineStr">
        <is>
          <t>Kimyacınız</t>
        </is>
      </c>
      <c r="J49" s="8" t="inlineStr">
        <is>
          <t>https://www.kimyaciniz.com/distile-saf-su-0-00-0-02-ppm-5-lt</t>
        </is>
      </c>
      <c r="K49" s="6" t="inlineStr">
        <is>
          <t>Stokta</t>
        </is>
      </c>
      <c r="L49" s="2" t="inlineStr">
        <is>
          <t>evet</t>
        </is>
      </c>
      <c r="M49" s="6" t="inlineStr">
        <is>
          <t>Boş bidon atık kabı olarak kullanılabilir.</t>
        </is>
      </c>
    </row>
    <row r="50">
      <c r="A50" s="2" t="n">
        <v>49</v>
      </c>
      <c r="B50" s="2" t="inlineStr">
        <is>
          <t>3 Islak istasyon</t>
        </is>
      </c>
      <c r="C50" s="6" t="inlineStr">
        <is>
          <t>Positiv 20</t>
        </is>
      </c>
      <c r="D50" s="6" t="inlineStr">
        <is>
          <t>Kontakt Chemie, 200 ml sprey</t>
        </is>
      </c>
      <c r="E50" s="2" t="n">
        <v>1</v>
      </c>
      <c r="F50" s="2" t="inlineStr">
        <is>
          <t>adet</t>
        </is>
      </c>
      <c r="G50" s="3" t="n">
        <v>1224.65</v>
      </c>
      <c r="H50" s="3">
        <f>IF(G50="","",E50*G50)</f>
        <v/>
      </c>
      <c r="I50" s="6" t="inlineStr">
        <is>
          <t>Motorobit</t>
        </is>
      </c>
      <c r="J50" s="8" t="inlineStr">
        <is>
          <t>https://www.motorobit.com/positiv-20-baski-devre-pozlama-spreyi-200ml</t>
        </is>
      </c>
      <c r="K50" s="6" t="inlineStr">
        <is>
          <t>Stokta (119)</t>
        </is>
      </c>
      <c r="L50" s="2" t="inlineStr">
        <is>
          <t>evet</t>
        </is>
      </c>
      <c r="M50" s="6" t="inlineStr"/>
    </row>
    <row r="51">
      <c r="A51" s="2" t="n">
        <v>50</v>
      </c>
      <c r="B51" s="2" t="inlineStr">
        <is>
          <t>3 Islak istasyon</t>
        </is>
      </c>
      <c r="C51" s="6" t="inlineStr">
        <is>
          <t>Bakır plaket tek yüz</t>
        </is>
      </c>
      <c r="D51" s="6" t="inlineStr">
        <is>
          <t>FR4 1,6 mm, 15x20 cm (iki adet 15x10 çıkar)</t>
        </is>
      </c>
      <c r="E51" s="2" t="n">
        <v>3</v>
      </c>
      <c r="F51" s="2" t="inlineStr">
        <is>
          <t>adet</t>
        </is>
      </c>
      <c r="G51" s="3" t="n">
        <v>87.23999999999999</v>
      </c>
      <c r="H51" s="3">
        <f>IF(G51="","",E51*G51)</f>
        <v/>
      </c>
      <c r="I51" s="6" t="inlineStr">
        <is>
          <t>Robotistan</t>
        </is>
      </c>
      <c r="J51" s="8" t="inlineStr">
        <is>
          <t>https://www.robotistan.com/20x20-bakir-plaket-fr4</t>
        </is>
      </c>
      <c r="K51" s="6" t="inlineStr">
        <is>
          <t>Stokta (235)</t>
        </is>
      </c>
      <c r="L51" s="2" t="inlineStr">
        <is>
          <t>evet</t>
        </is>
      </c>
      <c r="M51" s="6" t="inlineStr"/>
    </row>
    <row r="52">
      <c r="A52" s="2" t="n">
        <v>51</v>
      </c>
      <c r="B52" s="2" t="inlineStr">
        <is>
          <t>3 Islak istasyon</t>
        </is>
      </c>
      <c r="C52" s="6" t="inlineStr">
        <is>
          <t>Bakır plaket çift yüz</t>
        </is>
      </c>
      <c r="D52" s="6" t="inlineStr">
        <is>
          <t>FR4 1,6 mm, 35 µm, 15x20 cm</t>
        </is>
      </c>
      <c r="E52" s="2" t="n">
        <v>3</v>
      </c>
      <c r="F52" s="2" t="inlineStr">
        <is>
          <t>adet</t>
        </is>
      </c>
      <c r="G52" s="3" t="n">
        <v>87.23999999999999</v>
      </c>
      <c r="H52" s="3">
        <f>IF(G52="","",E52*G52)</f>
        <v/>
      </c>
      <c r="I52" s="6" t="inlineStr">
        <is>
          <t>Robotistan</t>
        </is>
      </c>
      <c r="J52" s="8" t="inlineStr">
        <is>
          <t>https://www.robotistan.com/20x20-cift-yuzlu-bakir-plaket-fr4-epoksi</t>
        </is>
      </c>
      <c r="K52" s="6" t="inlineStr">
        <is>
          <t>Stokta (192)</t>
        </is>
      </c>
      <c r="L52" s="2" t="inlineStr">
        <is>
          <t>evet</t>
        </is>
      </c>
      <c r="M52" s="6" t="inlineStr"/>
    </row>
    <row r="53">
      <c r="A53" s="2" t="n">
        <v>52</v>
      </c>
      <c r="B53" s="2" t="inlineStr">
        <is>
          <t>3 Islak istasyon</t>
        </is>
      </c>
      <c r="C53" s="6" t="inlineStr">
        <is>
          <t>Nitril kimyasal eldiven</t>
        </is>
      </c>
      <c r="D53" s="6" t="inlineStr">
        <is>
          <t>Starline STL-1513, 330 mm, 0,38 mm, EN 374</t>
        </is>
      </c>
      <c r="E53" s="2" t="n">
        <v>2</v>
      </c>
      <c r="F53" s="2" t="inlineStr">
        <is>
          <t>çift</t>
        </is>
      </c>
      <c r="G53" s="3" t="n">
        <v>125</v>
      </c>
      <c r="H53" s="3">
        <f>IF(G53="","",E53*G53)</f>
        <v/>
      </c>
      <c r="I53" s="6" t="inlineStr">
        <is>
          <t>Entegre Safety</t>
        </is>
      </c>
      <c r="J53" s="8" t="inlineStr">
        <is>
          <t>https://www.entegresafety.com/urun/nitril-eldiven-22</t>
        </is>
      </c>
      <c r="K53" s="6" t="inlineStr">
        <is>
          <t>Aynı gün kargo</t>
        </is>
      </c>
      <c r="L53" s="2" t="inlineStr">
        <is>
          <t>evet</t>
        </is>
      </c>
      <c r="M53" s="6" t="inlineStr">
        <is>
          <t>Nitril asetona karşı zayıf.</t>
        </is>
      </c>
    </row>
    <row r="54">
      <c r="A54" s="2" t="n">
        <v>53</v>
      </c>
      <c r="B54" s="2" t="inlineStr">
        <is>
          <t>3 Islak istasyon</t>
        </is>
      </c>
      <c r="C54" s="6" t="inlineStr">
        <is>
          <t>Kimyasal gözlük (goggle)</t>
        </is>
      </c>
      <c r="D54" s="6" t="inlineStr">
        <is>
          <t>3M 2890, dolaylı havalandırma, EN 166 "3"</t>
        </is>
      </c>
      <c r="E54" s="2" t="n">
        <v>1</v>
      </c>
      <c r="F54" s="2" t="inlineStr">
        <is>
          <t>adet</t>
        </is>
      </c>
      <c r="G54" s="3" t="n">
        <v>985.83</v>
      </c>
      <c r="H54" s="3">
        <f>IF(G54="","",E54*G54)</f>
        <v/>
      </c>
      <c r="I54" s="6" t="inlineStr">
        <is>
          <t>Entegre Safety</t>
        </is>
      </c>
      <c r="J54" s="8" t="inlineStr">
        <is>
          <t>https://www.entegresafety.com/urun/3m-2890-goggle-koruyucu-gozluk-clear-as-af</t>
        </is>
      </c>
      <c r="K54" s="6" t="inlineStr">
        <is>
          <t>"Gelince haber ver"</t>
        </is>
      </c>
      <c r="L54" s="2" t="inlineStr">
        <is>
          <t>evet</t>
        </is>
      </c>
      <c r="M54" s="6" t="inlineStr">
        <is>
          <t>Alt.: 3M 2890A 1.167,96 TL aynı satıcı.</t>
        </is>
      </c>
    </row>
    <row r="55">
      <c r="A55" s="2" t="n">
        <v>54</v>
      </c>
      <c r="B55" s="2" t="inlineStr">
        <is>
          <t>3 Islak istasyon</t>
        </is>
      </c>
      <c r="C55" s="6" t="inlineStr">
        <is>
          <t>Kimyasal önlük</t>
        </is>
      </c>
      <c r="D55" s="6" t="inlineStr">
        <is>
          <t>Borox PVC, 350 µm, 70x110 cm</t>
        </is>
      </c>
      <c r="E55" s="2" t="n">
        <v>1</v>
      </c>
      <c r="F55" s="2" t="inlineStr">
        <is>
          <t>adet</t>
        </is>
      </c>
      <c r="G55" s="3" t="n">
        <v>448.14</v>
      </c>
      <c r="H55" s="3">
        <f>IF(G55="","",E55*G55)</f>
        <v/>
      </c>
      <c r="I55" s="6" t="inlineStr">
        <is>
          <t>Blabmarket</t>
        </is>
      </c>
      <c r="J55" s="8" t="inlineStr">
        <is>
          <t>https://www.blabmarket.com/urun/asit-ve-kimyasal-onlugu-kimyasallara-dayanikli-pvc-onluk-su-gecrmez-is-guvenligi-onlugu-unisex-tam-boy-onluk</t>
        </is>
      </c>
      <c r="K55" s="6" t="inlineStr">
        <is>
          <t>Stokta</t>
        </is>
      </c>
      <c r="L55" s="2" t="inlineStr">
        <is>
          <t>evet</t>
        </is>
      </c>
      <c r="M55" s="6" t="inlineStr"/>
    </row>
    <row r="56">
      <c r="A56" s="2" t="n">
        <v>55</v>
      </c>
      <c r="B56" s="2" t="inlineStr">
        <is>
          <t>3 Islak istasyon</t>
        </is>
      </c>
      <c r="C56" s="6" t="inlineStr">
        <is>
          <t>Atık bidonu</t>
        </is>
      </c>
      <c r="D56" s="6" t="inlineStr">
        <is>
          <t>ISOLAB HDPE 3 L, geniş boyun</t>
        </is>
      </c>
      <c r="E56" s="2" t="n">
        <v>1</v>
      </c>
      <c r="F56" s="2" t="inlineStr">
        <is>
          <t>adet</t>
        </is>
      </c>
      <c r="G56" s="3" t="n"/>
      <c r="H56" s="3">
        <f>IF(G56="","",E56*G56)</f>
        <v/>
      </c>
      <c r="I56" s="6" t="inlineStr">
        <is>
          <t>Derkimlab</t>
        </is>
      </c>
      <c r="J56" s="8" t="inlineStr">
        <is>
          <t>https://www.derkimlab.com/urun/isolab-bidon-hdpe-3-lt</t>
        </is>
      </c>
      <c r="K56" s="6" t="inlineStr">
        <is>
          <t>3 günde kargo</t>
        </is>
      </c>
      <c r="L56" s="9" t="inlineStr">
        <is>
          <t>hayır</t>
        </is>
      </c>
      <c r="M56" s="6" t="inlineStr">
        <is>
          <t>Fiyat gösterilmiyor. Bakırlı atık kanalizasyona dökülmez.</t>
        </is>
      </c>
    </row>
    <row r="57">
      <c r="A57" s="2" t="n">
        <v>56</v>
      </c>
      <c r="B57" s="2" t="inlineStr">
        <is>
          <t>4 Hot plate</t>
        </is>
      </c>
      <c r="C57" s="6" t="inlineStr">
        <is>
          <t>Isıtıcı plaka</t>
        </is>
      </c>
      <c r="D57" s="6" t="inlineStr">
        <is>
          <t>500 W plaka rezistans, 220 V (ölçü teyit edilecek; hedef ~200x150 mm)</t>
        </is>
      </c>
      <c r="E57" s="2" t="n">
        <v>1</v>
      </c>
      <c r="F57" s="2" t="inlineStr">
        <is>
          <t>adet</t>
        </is>
      </c>
      <c r="G57" s="3" t="n">
        <v>2424.47</v>
      </c>
      <c r="H57" s="3">
        <f>IF(G57="","",E57*G57)</f>
        <v/>
      </c>
      <c r="I57" s="6" t="inlineStr">
        <is>
          <t>EMS Endüstriyel</t>
        </is>
      </c>
      <c r="J57" s="2" t="inlineStr"/>
      <c r="K57" s="6" t="inlineStr">
        <is>
          <t>?</t>
        </is>
      </c>
      <c r="L57" s="9" t="inlineStr">
        <is>
          <t>hayır</t>
        </is>
      </c>
      <c r="M57" s="6" t="inlineStr">
        <is>
          <t>Fiyatı kullanıcı buldu (2026-10-04); link/ölçü eklenecek. Üstüne 6 mm alüminyum plaka + termokupl. Hazır alt.: Sunline 958 130x130, Robotistan 13.145,64 TL (Alternatifler).</t>
        </is>
      </c>
    </row>
    <row r="58">
      <c r="A58" s="2" t="n">
        <v>57</v>
      </c>
      <c r="B58" s="2" t="inlineStr">
        <is>
          <t>4 Hot plate</t>
        </is>
      </c>
      <c r="C58" s="6" t="inlineStr">
        <is>
          <t>Termokupl okuyucu</t>
        </is>
      </c>
      <c r="D58" s="6" t="inlineStr">
        <is>
          <t>MAX6675 + K-tip prob, SPI</t>
        </is>
      </c>
      <c r="E58" s="2" t="n">
        <v>1</v>
      </c>
      <c r="F58" s="2" t="inlineStr">
        <is>
          <t>adet</t>
        </is>
      </c>
      <c r="G58" s="3" t="n">
        <v>293.39</v>
      </c>
      <c r="H58" s="3">
        <f>IF(G58="","",E58*G58)</f>
        <v/>
      </c>
      <c r="I58" s="6" t="inlineStr">
        <is>
          <t>Robotistan</t>
        </is>
      </c>
      <c r="J58" s="8" t="inlineStr">
        <is>
          <t>https://www.robotistan.com/max6675-k-type-termokupl-sensor</t>
        </is>
      </c>
      <c r="K58" s="6" t="inlineStr">
        <is>
          <t>Stokta (149)</t>
        </is>
      </c>
      <c r="L58" s="2" t="inlineStr">
        <is>
          <t>evet</t>
        </is>
      </c>
      <c r="M58" s="6" t="inlineStr"/>
    </row>
    <row r="59">
      <c r="A59" s="2" t="n">
        <v>58</v>
      </c>
      <c r="B59" s="2" t="inlineStr">
        <is>
          <t>4 Hot plate</t>
        </is>
      </c>
      <c r="C59" s="6" t="inlineStr">
        <is>
          <t>K-tip prob (vidalı)</t>
        </is>
      </c>
      <c r="D59" s="6" t="inlineStr">
        <is>
          <t>M6 vidalı, 0–800 °C, 50 cm</t>
        </is>
      </c>
      <c r="E59" s="2" t="n">
        <v>1</v>
      </c>
      <c r="F59" s="2" t="inlineStr">
        <is>
          <t>adet</t>
        </is>
      </c>
      <c r="G59" s="3" t="n">
        <v>150</v>
      </c>
      <c r="H59" s="3">
        <f>IF(G59="","",E59*G59)</f>
        <v/>
      </c>
      <c r="I59" s="6" t="inlineStr">
        <is>
          <t>Motorobit</t>
        </is>
      </c>
      <c r="J59" s="8" t="inlineStr">
        <is>
          <t>https://www.motorobit.com/k-tip-0-800c-m6-termokupl-50cm</t>
        </is>
      </c>
      <c r="K59" s="6" t="inlineStr">
        <is>
          <t>Stokta (55)</t>
        </is>
      </c>
      <c r="L59" s="2" t="inlineStr">
        <is>
          <t>evet</t>
        </is>
      </c>
      <c r="M59" s="6" t="inlineStr">
        <is>
          <t>Plakaya vidalanır.</t>
        </is>
      </c>
    </row>
    <row r="60">
      <c r="A60" s="2" t="n">
        <v>59</v>
      </c>
      <c r="B60" s="2" t="inlineStr">
        <is>
          <t>4 Hot plate</t>
        </is>
      </c>
      <c r="C60" s="6" t="inlineStr">
        <is>
          <t>SSR</t>
        </is>
      </c>
      <c r="D60" s="6" t="inlineStr">
        <is>
          <t>SSR-40DA, 3–32 VDC giriş, 24–380 VAC</t>
        </is>
      </c>
      <c r="E60" s="2" t="n">
        <v>2</v>
      </c>
      <c r="F60" s="2" t="inlineStr">
        <is>
          <t>adet</t>
        </is>
      </c>
      <c r="G60" s="3" t="n">
        <v>215.03</v>
      </c>
      <c r="H60" s="3">
        <f>IF(G60="","",E60*G60)</f>
        <v/>
      </c>
      <c r="I60" s="6" t="inlineStr">
        <is>
          <t>Direnc.net</t>
        </is>
      </c>
      <c r="J60" s="8" t="inlineStr">
        <is>
          <t>https://www.direnc.net/ssr-40da--40a-solid-state-role</t>
        </is>
      </c>
      <c r="K60" s="6" t="inlineStr">
        <is>
          <t>Stokta (876)</t>
        </is>
      </c>
      <c r="L60" s="2" t="inlineStr">
        <is>
          <t>evet</t>
        </is>
      </c>
      <c r="M60" s="6" t="inlineStr">
        <is>
          <t>Biri hot plate, biri ıslak istasyon ısıtıcısı. Fotek tipi klonlar şişirilmiş değerli: ≥2x akım + soğutucu.</t>
        </is>
      </c>
    </row>
    <row r="61">
      <c r="A61" s="2" t="n">
        <v>60</v>
      </c>
      <c r="B61" s="2" t="inlineStr">
        <is>
          <t>4 Hot plate</t>
        </is>
      </c>
      <c r="C61" s="6" t="inlineStr">
        <is>
          <t>SSR soğutucu</t>
        </is>
      </c>
      <c r="D61" s="6" t="inlineStr">
        <is>
          <t>I-50, 10–40 A</t>
        </is>
      </c>
      <c r="E61" s="2" t="n">
        <v>2</v>
      </c>
      <c r="F61" s="2" t="inlineStr">
        <is>
          <t>adet</t>
        </is>
      </c>
      <c r="G61" s="3" t="n">
        <v>150</v>
      </c>
      <c r="H61" s="3">
        <f>IF(G61="","",E61*G61)</f>
        <v/>
      </c>
      <c r="I61" s="6" t="inlineStr">
        <is>
          <t>Motorobit</t>
        </is>
      </c>
      <c r="J61" s="8" t="inlineStr">
        <is>
          <t>https://www.motorobit.com/i-50-ssr-10-40a-role-uyumlu-sogutucu</t>
        </is>
      </c>
      <c r="K61" s="6" t="inlineStr">
        <is>
          <t>Stokta (28)</t>
        </is>
      </c>
      <c r="L61" s="2" t="inlineStr">
        <is>
          <t>evet</t>
        </is>
      </c>
      <c r="M61" s="6" t="inlineStr"/>
    </row>
    <row r="62">
      <c r="A62" s="2" t="n">
        <v>61</v>
      </c>
      <c r="B62" s="2" t="inlineStr">
        <is>
          <t>4 Hot plate</t>
        </is>
      </c>
      <c r="C62" s="6" t="inlineStr">
        <is>
          <t>Krem lehim</t>
        </is>
      </c>
      <c r="D62" s="6" t="inlineStr">
        <is>
          <t>Sn63Pb37, 50 g</t>
        </is>
      </c>
      <c r="E62" s="2" t="n">
        <v>1</v>
      </c>
      <c r="F62" s="2" t="inlineStr">
        <is>
          <t>adet</t>
        </is>
      </c>
      <c r="G62" s="3" t="n">
        <v>333</v>
      </c>
      <c r="H62" s="3">
        <f>IF(G62="","",E62*G62)</f>
        <v/>
      </c>
      <c r="I62" s="6" t="inlineStr">
        <is>
          <t>Motorobit</t>
        </is>
      </c>
      <c r="J62" s="8" t="inlineStr">
        <is>
          <t>https://www.motorobit.com/tassol-krem-lehim-50gr-sn63-pb37</t>
        </is>
      </c>
      <c r="K62" s="6" t="inlineStr">
        <is>
          <t>Stokta</t>
        </is>
      </c>
      <c r="L62" s="2" t="inlineStr">
        <is>
          <t>evet</t>
        </is>
      </c>
      <c r="M62" s="6" t="inlineStr">
        <is>
          <t>TR'de "lehim pastası" = flux; lehim için "krem lehim" ara. Kurşunsuz alt.: Tassol 486 TL (PTC plaka SAC305 için sınırda).</t>
        </is>
      </c>
    </row>
    <row r="63">
      <c r="A63" s="2" t="n">
        <v>62</v>
      </c>
      <c r="B63" s="2" t="inlineStr">
        <is>
          <t>4 Hot plate</t>
        </is>
      </c>
      <c r="C63" s="6" t="inlineStr">
        <is>
          <t>Flux</t>
        </is>
      </c>
      <c r="D63" s="6" t="inlineStr">
        <is>
          <t>Kurtel RA 50 reçineli, 10 cc</t>
        </is>
      </c>
      <c r="E63" s="2" t="n">
        <v>1</v>
      </c>
      <c r="F63" s="2" t="inlineStr">
        <is>
          <t>adet</t>
        </is>
      </c>
      <c r="G63" s="3" t="n">
        <v>443.6</v>
      </c>
      <c r="H63" s="3">
        <f>IF(G63="","",E63*G63)</f>
        <v/>
      </c>
      <c r="I63" s="6" t="inlineStr">
        <is>
          <t>Robotistan</t>
        </is>
      </c>
      <c r="J63" s="8" t="inlineStr">
        <is>
          <t>https://www.robotistan.com/kurtel-ra-50-recineli-flux-kalemi-10cc</t>
        </is>
      </c>
      <c r="K63" s="6" t="inlineStr">
        <is>
          <t>Stokta (4)</t>
        </is>
      </c>
      <c r="L63" s="2" t="inlineStr">
        <is>
          <t>evet</t>
        </is>
      </c>
      <c r="M63" s="6" t="inlineStr"/>
    </row>
    <row r="64">
      <c r="A64" s="2" t="n">
        <v>63</v>
      </c>
      <c r="B64" s="2" t="inlineStr">
        <is>
          <t>4 Hot plate</t>
        </is>
      </c>
      <c r="C64" s="6" t="inlineStr">
        <is>
          <t>Duman emici</t>
        </is>
      </c>
      <c r="D64" s="6" t="inlineStr">
        <is>
          <t>FA-400 ESD + 5 aktif karbon filtre</t>
        </is>
      </c>
      <c r="E64" s="2" t="n">
        <v>1</v>
      </c>
      <c r="F64" s="2" t="inlineStr">
        <is>
          <t>adet</t>
        </is>
      </c>
      <c r="G64" s="3" t="n">
        <v>1627.29</v>
      </c>
      <c r="H64" s="3">
        <f>IF(G64="","",E64*G64)</f>
        <v/>
      </c>
      <c r="I64" s="6" t="inlineStr">
        <is>
          <t>Direnc.net</t>
        </is>
      </c>
      <c r="J64" s="8" t="inlineStr">
        <is>
          <t>https://www.direnc.net/fa-400-esd-guvenli-duman-emici-ve-5-adet-aktif-karbon-filtre</t>
        </is>
      </c>
      <c r="K64" s="6" t="inlineStr">
        <is>
          <t>Stokta (18)</t>
        </is>
      </c>
      <c r="L64" s="2" t="inlineStr">
        <is>
          <t>evet</t>
        </is>
      </c>
      <c r="M64" s="6" t="inlineStr"/>
    </row>
    <row r="65">
      <c r="A65" s="2" t="n">
        <v>64</v>
      </c>
      <c r="B65" s="2" t="inlineStr">
        <is>
          <t>5 Elektronik</t>
        </is>
      </c>
      <c r="C65" s="6" t="inlineStr">
        <is>
          <t>ESP32-S3 kart</t>
        </is>
      </c>
      <c r="D65" s="6" t="inlineStr">
        <is>
          <t>ESP32-S3-WROOM-1-N16R8, çift USB-C (DevKitC-1 klonu)</t>
        </is>
      </c>
      <c r="E65" s="2" t="n">
        <v>2</v>
      </c>
      <c r="F65" s="2" t="inlineStr">
        <is>
          <t>adet</t>
        </is>
      </c>
      <c r="G65" s="3" t="n">
        <v>610.23</v>
      </c>
      <c r="H65" s="3">
        <f>IF(G65="","",E65*G65)</f>
        <v/>
      </c>
      <c r="I65" s="6" t="inlineStr">
        <is>
          <t>Direnc.net</t>
        </is>
      </c>
      <c r="J65" s="8" t="inlineStr">
        <is>
          <t>https://www.direnc.net/esp32-s3-n16r8-wifi-bluetooth-board</t>
        </is>
      </c>
      <c r="K65" s="6" t="inlineStr">
        <is>
          <t>Stokta (1792)</t>
        </is>
      </c>
      <c r="L65" s="2" t="inlineStr">
        <is>
          <t>evet</t>
        </is>
      </c>
      <c r="M65" s="6" t="inlineStr">
        <is>
          <t>CNC hareket + ıslak istasyon/hot plate denetimi.</t>
        </is>
      </c>
    </row>
    <row r="66">
      <c r="A66" s="2" t="n">
        <v>65</v>
      </c>
      <c r="B66" s="2" t="inlineStr">
        <is>
          <t>5 Elektronik</t>
        </is>
      </c>
      <c r="C66" s="6" t="inlineStr">
        <is>
          <t>24 V güç kaynağı</t>
        </is>
      </c>
      <c r="D66" s="6" t="inlineStr">
        <is>
          <t>Hightek HT-1212, 24 V 15 A 360 W, metal kasa</t>
        </is>
      </c>
      <c r="E66" s="2" t="n">
        <v>1</v>
      </c>
      <c r="F66" s="2" t="inlineStr">
        <is>
          <t>adet</t>
        </is>
      </c>
      <c r="G66" s="3" t="n">
        <v>1320</v>
      </c>
      <c r="H66" s="3">
        <f>IF(G66="","",E66*G66)</f>
        <v/>
      </c>
      <c r="I66" s="6" t="inlineStr">
        <is>
          <t>Motorobit</t>
        </is>
      </c>
      <c r="J66" s="8" t="inlineStr">
        <is>
          <t>https://www.motorobit.com/hightek-24v-15a-metal-kasa-adaptor-led-driver</t>
        </is>
      </c>
      <c r="K66" s="6" t="inlineStr">
        <is>
          <t>Stokta (4)</t>
        </is>
      </c>
      <c r="L66" s="2" t="inlineStr">
        <is>
          <t>evet</t>
        </is>
      </c>
      <c r="M66" s="6" t="inlineStr">
        <is>
          <t>Ürün için Mean Well: RSP-320-24 Direnc 3.635,83 TL stokta; LRS-350-24 Akakçe ~1.338 TL (doğrulanamadı).</t>
        </is>
      </c>
    </row>
    <row r="67">
      <c r="A67" s="2" t="n">
        <v>66</v>
      </c>
      <c r="B67" s="2" t="inlineStr">
        <is>
          <t>5 Elektronik</t>
        </is>
      </c>
      <c r="C67" s="6" t="inlineStr">
        <is>
          <t>12 V güç kaynağı</t>
        </is>
      </c>
      <c r="D67" s="6" t="inlineStr">
        <is>
          <t>Mean Well LRS-100-12, 12 V 8,5 A</t>
        </is>
      </c>
      <c r="E67" s="2" t="n">
        <v>1</v>
      </c>
      <c r="F67" s="2" t="inlineStr">
        <is>
          <t>adet</t>
        </is>
      </c>
      <c r="G67" s="3" t="n">
        <v>1009.85</v>
      </c>
      <c r="H67" s="3">
        <f>IF(G67="","",E67*G67)</f>
        <v/>
      </c>
      <c r="I67" s="6" t="inlineStr">
        <is>
          <t>Direnc.net</t>
        </is>
      </c>
      <c r="J67" s="8" t="inlineStr">
        <is>
          <t>https://www.direnc.net/12v-85a-kapali-tip-switch-mode-adaptor</t>
        </is>
      </c>
      <c r="K67" s="6" t="inlineStr">
        <is>
          <t>Stokta</t>
        </is>
      </c>
      <c r="L67" s="2" t="inlineStr">
        <is>
          <t>evet</t>
        </is>
      </c>
      <c r="M67" s="6" t="inlineStr">
        <is>
          <t>Pompalar, fanlar, LED sürücü girişi (LED 30+ V ise ayrı kaynak gerekir).</t>
        </is>
      </c>
    </row>
    <row r="68">
      <c r="A68" s="2" t="n">
        <v>67</v>
      </c>
      <c r="B68" s="2" t="inlineStr">
        <is>
          <t>5 Elektronik</t>
        </is>
      </c>
      <c r="C68" s="6" t="inlineStr">
        <is>
          <t>5 V düşürücü</t>
        </is>
      </c>
      <c r="D68" s="6" t="inlineStr">
        <is>
          <t>HCW-P715, 9–36 V → 5 V 5 A</t>
        </is>
      </c>
      <c r="E68" s="2" t="n">
        <v>2</v>
      </c>
      <c r="F68" s="2" t="inlineStr">
        <is>
          <t>adet</t>
        </is>
      </c>
      <c r="G68" s="3" t="n">
        <v>165</v>
      </c>
      <c r="H68" s="3">
        <f>IF(G68="","",E68*G68)</f>
        <v/>
      </c>
      <c r="I68" s="6" t="inlineStr">
        <is>
          <t>Motorobit</t>
        </is>
      </c>
      <c r="J68" s="8" t="inlineStr">
        <is>
          <t>https://www.motorobit.com/hcw-p715-9-36vtan-5va-5a-voltaj-dusurucu-regulator-karti</t>
        </is>
      </c>
      <c r="K68" s="6" t="inlineStr">
        <is>
          <t>Stokta (75)</t>
        </is>
      </c>
      <c r="L68" s="2" t="inlineStr">
        <is>
          <t>evet</t>
        </is>
      </c>
      <c r="M68" s="6" t="inlineStr"/>
    </row>
    <row r="69">
      <c r="A69" s="2" t="n">
        <v>68</v>
      </c>
      <c r="B69" s="2" t="inlineStr">
        <is>
          <t>5 Elektronik</t>
        </is>
      </c>
      <c r="C69" s="6" t="inlineStr">
        <is>
          <t>MOSFET anahtarlama kartı</t>
        </is>
      </c>
      <c r="D69" s="6" t="inlineStr">
        <is>
          <t>15 A / 400 W PWM, tetik 3,3–20 V</t>
        </is>
      </c>
      <c r="E69" s="2" t="n">
        <v>4</v>
      </c>
      <c r="F69" s="2" t="inlineStr">
        <is>
          <t>adet</t>
        </is>
      </c>
      <c r="G69" s="3" t="n">
        <v>93.20999999999999</v>
      </c>
      <c r="H69" s="3">
        <f>IF(G69="","",E69*G69)</f>
        <v/>
      </c>
      <c r="I69" s="6" t="inlineStr">
        <is>
          <t>Robotistan</t>
        </is>
      </c>
      <c r="J69" s="8" t="inlineStr">
        <is>
          <t>https://www.robotistan.com/15a-400w-pwm-kontrollu-mosfet-anahtarlama-karti</t>
        </is>
      </c>
      <c r="K69" s="6" t="inlineStr">
        <is>
          <t>Stokta (174)</t>
        </is>
      </c>
      <c r="L69" s="2" t="inlineStr">
        <is>
          <t>evet</t>
        </is>
      </c>
      <c r="M69" s="6" t="inlineStr">
        <is>
          <t>Pompa, fan, hava pompası, LED. IRF520 modülleri lojik seviye değil.</t>
        </is>
      </c>
    </row>
    <row r="70">
      <c r="A70" s="2" t="n">
        <v>69</v>
      </c>
      <c r="B70" s="2" t="inlineStr">
        <is>
          <t>5 Elektronik</t>
        </is>
      </c>
      <c r="C70" s="6" t="inlineStr">
        <is>
          <t>4 kanal röle</t>
        </is>
      </c>
      <c r="D70" s="6" t="inlineStr">
        <is>
          <t>5 V</t>
        </is>
      </c>
      <c r="E70" s="2" t="n">
        <v>1</v>
      </c>
      <c r="F70" s="2" t="inlineStr">
        <is>
          <t>adet</t>
        </is>
      </c>
      <c r="G70" s="3" t="n">
        <v>127.86</v>
      </c>
      <c r="H70" s="3">
        <f>IF(G70="","",E70*G70)</f>
        <v/>
      </c>
      <c r="I70" s="6" t="inlineStr">
        <is>
          <t>Direnc.net</t>
        </is>
      </c>
      <c r="J70" s="8" t="inlineStr">
        <is>
          <t>https://www.direnc.net/5v-4-kanal-role-karti</t>
        </is>
      </c>
      <c r="K70" s="6" t="inlineStr">
        <is>
          <t>Stokta (691)</t>
        </is>
      </c>
      <c r="L70" s="2" t="inlineStr">
        <is>
          <t>evet</t>
        </is>
      </c>
      <c r="M70" s="6" t="inlineStr"/>
    </row>
    <row r="71">
      <c r="A71" s="2" t="n">
        <v>70</v>
      </c>
      <c r="B71" s="2" t="inlineStr">
        <is>
          <t>5 Elektronik</t>
        </is>
      </c>
      <c r="C71" s="6" t="inlineStr">
        <is>
          <t>Dokunmatik ekran (ops.)</t>
        </is>
      </c>
      <c r="D71" s="6" t="inlineStr">
        <is>
          <t>2,8" SPI TFT ILI9341 240x320</t>
        </is>
      </c>
      <c r="E71" s="2" t="n">
        <v>1</v>
      </c>
      <c r="F71" s="2" t="inlineStr">
        <is>
          <t>adet</t>
        </is>
      </c>
      <c r="G71" s="3" t="n">
        <v>569.45</v>
      </c>
      <c r="H71" s="3">
        <f>IF(G71="","",E71*G71)</f>
        <v/>
      </c>
      <c r="I71" s="6" t="inlineStr">
        <is>
          <t>Robotistan</t>
        </is>
      </c>
      <c r="J71" s="8" t="inlineStr">
        <is>
          <t>https://www.robotistan.com/28-inc-arduino-dokunmatik-ekran-shield-240320</t>
        </is>
      </c>
      <c r="K71" s="6" t="inlineStr">
        <is>
          <t>Stokta (774)</t>
        </is>
      </c>
      <c r="L71" s="2" t="inlineStr">
        <is>
          <t>evet</t>
        </is>
      </c>
      <c r="M71" s="6" t="inlineStr">
        <is>
          <t>Web arayüzü varken isteğe bağlı.</t>
        </is>
      </c>
    </row>
    <row r="72">
      <c r="A72" s="2" t="n">
        <v>71</v>
      </c>
      <c r="B72" s="2" t="inlineStr">
        <is>
          <t>5 Elektronik</t>
        </is>
      </c>
      <c r="C72" s="6" t="inlineStr">
        <is>
          <t>GX16 konnektör</t>
        </is>
      </c>
      <c r="D72" s="6" t="inlineStr">
        <is>
          <t>4 pin fiş+soket</t>
        </is>
      </c>
      <c r="E72" s="2" t="n">
        <v>6</v>
      </c>
      <c r="F72" s="2" t="inlineStr">
        <is>
          <t>adet</t>
        </is>
      </c>
      <c r="G72" s="3" t="n">
        <v>102</v>
      </c>
      <c r="H72" s="3">
        <f>IF(G72="","",E72*G72)</f>
        <v/>
      </c>
      <c r="I72" s="6" t="inlineStr">
        <is>
          <t>Motorobit</t>
        </is>
      </c>
      <c r="J72" s="8" t="inlineStr">
        <is>
          <t>https://www.motorobit.com/gx-16-4-pin-su-gecirmez-mike-konnektor</t>
        </is>
      </c>
      <c r="K72" s="6" t="inlineStr">
        <is>
          <t>Stokta (1781)</t>
        </is>
      </c>
      <c r="L72" s="2" t="inlineStr">
        <is>
          <t>evet</t>
        </is>
      </c>
      <c r="M72" s="6" t="inlineStr">
        <is>
          <t>Modüller arası kablolar.</t>
        </is>
      </c>
    </row>
    <row r="73">
      <c r="A73" s="2" t="n">
        <v>72</v>
      </c>
      <c r="B73" s="2" t="inlineStr">
        <is>
          <t>5 Elektronik</t>
        </is>
      </c>
      <c r="C73" s="6" t="inlineStr">
        <is>
          <t>JST-XH kablo seti</t>
        </is>
      </c>
      <c r="D73" s="6" t="inlineStr">
        <is>
          <t>2,54 mm</t>
        </is>
      </c>
      <c r="E73" s="2" t="n">
        <v>1</v>
      </c>
      <c r="F73" s="2" t="inlineStr">
        <is>
          <t>set</t>
        </is>
      </c>
      <c r="G73" s="3" t="n">
        <v>372.26</v>
      </c>
      <c r="H73" s="3">
        <f>IF(G73="","",E73*G73)</f>
        <v/>
      </c>
      <c r="I73" s="6" t="inlineStr">
        <is>
          <t>Robotistan</t>
        </is>
      </c>
      <c r="J73" s="8" t="inlineStr">
        <is>
          <t>https://www.robotistan.com/xh-2-54mm-konnektor-kablo-seti</t>
        </is>
      </c>
      <c r="K73" s="6" t="inlineStr">
        <is>
          <t>Stokta (31)</t>
        </is>
      </c>
      <c r="L73" s="2" t="inlineStr">
        <is>
          <t>evet</t>
        </is>
      </c>
      <c r="M73" s="6" t="inlineStr"/>
    </row>
    <row r="74">
      <c r="A74" s="2" t="n">
        <v>73</v>
      </c>
      <c r="B74" s="2" t="inlineStr">
        <is>
          <t>5 Elektronik</t>
        </is>
      </c>
      <c r="C74" s="6" t="inlineStr">
        <is>
          <t>Silikon kablo 18 AWG</t>
        </is>
      </c>
      <c r="D74" s="6" t="inlineStr">
        <is>
          <t>siyah/kırmızı</t>
        </is>
      </c>
      <c r="E74" s="2" t="n">
        <v>4</v>
      </c>
      <c r="F74" s="2" t="inlineStr">
        <is>
          <t>m</t>
        </is>
      </c>
      <c r="G74" s="3" t="n">
        <v>42</v>
      </c>
      <c r="H74" s="3">
        <f>IF(G74="","",E74*G74)</f>
        <v/>
      </c>
      <c r="I74" s="6" t="inlineStr">
        <is>
          <t>Motorobit</t>
        </is>
      </c>
      <c r="J74" s="8" t="inlineStr">
        <is>
          <t>https://www.motorobit.com/18-awg-silikon-kablo-siyah-1-metre</t>
        </is>
      </c>
      <c r="K74" s="6" t="inlineStr">
        <is>
          <t>Stokta (1691)</t>
        </is>
      </c>
      <c r="L74" s="2" t="inlineStr">
        <is>
          <t>evet</t>
        </is>
      </c>
      <c r="M74" s="6" t="inlineStr"/>
    </row>
    <row r="75">
      <c r="A75" s="2" t="n">
        <v>74</v>
      </c>
      <c r="B75" s="2" t="inlineStr">
        <is>
          <t>5 Elektronik</t>
        </is>
      </c>
      <c r="C75" s="6" t="inlineStr">
        <is>
          <t>Silikon kablo 20 AWG seti</t>
        </is>
      </c>
      <c r="D75" s="6" t="inlineStr">
        <is>
          <t>6 renk, 60 m</t>
        </is>
      </c>
      <c r="E75" s="2" t="n">
        <v>1</v>
      </c>
      <c r="F75" s="2" t="inlineStr">
        <is>
          <t>set</t>
        </is>
      </c>
      <c r="G75" s="3" t="n">
        <v>1440</v>
      </c>
      <c r="H75" s="3">
        <f>IF(G75="","",E75*G75)</f>
        <v/>
      </c>
      <c r="I75" s="6" t="inlineStr">
        <is>
          <t>Motorobit</t>
        </is>
      </c>
      <c r="J75" s="8" t="inlineStr">
        <is>
          <t>https://www.motorobit.com/20awg-silikon-cok-damarli-montaj-kablosu-seti-6-renk-60m</t>
        </is>
      </c>
      <c r="K75" s="6" t="inlineStr">
        <is>
          <t>Stokta (69)</t>
        </is>
      </c>
      <c r="L75" s="2" t="inlineStr">
        <is>
          <t>evet</t>
        </is>
      </c>
      <c r="M75" s="6" t="inlineStr">
        <is>
          <t>22 AWG silikon stokta yok.</t>
        </is>
      </c>
    </row>
    <row r="76">
      <c r="A76" s="2" t="n">
        <v>75</v>
      </c>
      <c r="B76" s="2" t="inlineStr">
        <is>
          <t>5 Elektronik</t>
        </is>
      </c>
      <c r="C76" s="6" t="inlineStr">
        <is>
          <t>DC jak</t>
        </is>
      </c>
      <c r="D76" s="6" t="inlineStr">
        <is>
          <t>DC-099 5,5x2,1 mm metal panel</t>
        </is>
      </c>
      <c r="E76" s="2" t="n">
        <v>2</v>
      </c>
      <c r="F76" s="2" t="inlineStr">
        <is>
          <t>adet</t>
        </is>
      </c>
      <c r="G76" s="3" t="n">
        <v>18</v>
      </c>
      <c r="H76" s="3">
        <f>IF(G76="","",E76*G76)</f>
        <v/>
      </c>
      <c r="I76" s="6" t="inlineStr">
        <is>
          <t>Motorobit</t>
        </is>
      </c>
      <c r="J76" s="8" t="inlineStr">
        <is>
          <t>https://www.motorobit.com/dc-099-55x21mm-metal-dc-jack-sasesi-jak-girisi</t>
        </is>
      </c>
      <c r="K76" s="6" t="inlineStr">
        <is>
          <t>Stokta (800)</t>
        </is>
      </c>
      <c r="L76" s="2" t="inlineStr">
        <is>
          <t>evet</t>
        </is>
      </c>
      <c r="M76" s="6" t="inlineStr"/>
    </row>
    <row r="77">
      <c r="A77" s="2" t="n">
        <v>76</v>
      </c>
      <c r="B77" s="2" t="inlineStr">
        <is>
          <t>5 Elektronik</t>
        </is>
      </c>
      <c r="C77" s="6" t="inlineStr">
        <is>
          <t>Sigorta yuvası</t>
        </is>
      </c>
      <c r="D77" s="6" t="inlineStr">
        <is>
          <t>5x20 panel tipi</t>
        </is>
      </c>
      <c r="E77" s="2" t="n">
        <v>2</v>
      </c>
      <c r="F77" s="2" t="inlineStr">
        <is>
          <t>adet</t>
        </is>
      </c>
      <c r="G77" s="3" t="n">
        <v>9</v>
      </c>
      <c r="H77" s="3">
        <f>IF(G77="","",E77*G77)</f>
        <v/>
      </c>
      <c r="I77" s="6" t="inlineStr">
        <is>
          <t>Motorobit</t>
        </is>
      </c>
      <c r="J77" s="8" t="inlineStr">
        <is>
          <t>https://www.motorobit.com/5x20-panel-tipi-sigorta-yuvasi</t>
        </is>
      </c>
      <c r="K77" s="6" t="inlineStr">
        <is>
          <t>Stokta</t>
        </is>
      </c>
      <c r="L77" s="2" t="inlineStr">
        <is>
          <t>evet</t>
        </is>
      </c>
      <c r="M77" s="6" t="inlineStr"/>
    </row>
    <row r="78">
      <c r="A78" s="2" t="n">
        <v>77</v>
      </c>
      <c r="B78" s="2" t="inlineStr">
        <is>
          <t>5 Elektronik</t>
        </is>
      </c>
      <c r="C78" s="6" t="inlineStr">
        <is>
          <t>Sigorta T3,15 A</t>
        </is>
      </c>
      <c r="D78" s="6" t="inlineStr">
        <is>
          <t>5x20 gecikmeli cam</t>
        </is>
      </c>
      <c r="E78" s="2" t="n">
        <v>10</v>
      </c>
      <c r="F78" s="2" t="inlineStr">
        <is>
          <t>adet</t>
        </is>
      </c>
      <c r="G78" s="3" t="n">
        <v>3.6</v>
      </c>
      <c r="H78" s="3">
        <f>IF(G78="","",E78*G78)</f>
        <v/>
      </c>
      <c r="I78" s="6" t="inlineStr">
        <is>
          <t>Motorobit</t>
        </is>
      </c>
      <c r="J78" s="8" t="inlineStr">
        <is>
          <t>https://www.motorobit.com/5k-t315a-5x20mm-gecikmeli-cam-sigorta</t>
        </is>
      </c>
      <c r="K78" s="6" t="inlineStr">
        <is>
          <t>Stokta</t>
        </is>
      </c>
      <c r="L78" s="2" t="inlineStr">
        <is>
          <t>evet</t>
        </is>
      </c>
      <c r="M78" s="6" t="inlineStr"/>
    </row>
    <row r="79">
      <c r="A79" s="2" t="n">
        <v>78</v>
      </c>
      <c r="B79" s="2" t="inlineStr">
        <is>
          <t>5 Elektronik</t>
        </is>
      </c>
      <c r="C79" s="6" t="inlineStr">
        <is>
          <t>Acil stop</t>
        </is>
      </c>
      <c r="D79" s="6" t="inlineStr">
        <is>
          <t>Mantar başlı 1NO+1NC, anahtarlı reset</t>
        </is>
      </c>
      <c r="E79" s="2" t="n">
        <v>1</v>
      </c>
      <c r="F79" s="2" t="inlineStr">
        <is>
          <t>adet</t>
        </is>
      </c>
      <c r="G79" s="3" t="n">
        <v>1200</v>
      </c>
      <c r="H79" s="3">
        <f>IF(G79="","",E79*G79)</f>
        <v/>
      </c>
      <c r="I79" s="6" t="inlineStr">
        <is>
          <t>Motorobit</t>
        </is>
      </c>
      <c r="J79" s="8" t="inlineStr">
        <is>
          <t>https://www.motorobit.com/mantar-basli-acil-stop-butonu-1no1nc-anahtarli-lift-reset</t>
        </is>
      </c>
      <c r="K79" s="6" t="inlineStr">
        <is>
          <t>Stokta (20)</t>
        </is>
      </c>
      <c r="L79" s="2" t="inlineStr">
        <is>
          <t>evet</t>
        </is>
      </c>
      <c r="M79" s="6" t="inlineStr">
        <is>
          <t>Ucuz alt.: Direnc Drn956 16 mm 188,30 TL. Ürün için endüstriyel NC tercih.</t>
        </is>
      </c>
    </row>
    <row r="80">
      <c r="A80" s="2" t="n">
        <v>79</v>
      </c>
      <c r="B80" s="2" t="inlineStr">
        <is>
          <t>5 Elektronik</t>
        </is>
      </c>
      <c r="C80" s="6" t="inlineStr">
        <is>
          <t>IEC C14 giriş</t>
        </is>
      </c>
      <c r="D80" s="6" t="inlineStr">
        <is>
          <t>EMI filtreli, 6 A, anahtarlı, sigorta yuvalı</t>
        </is>
      </c>
      <c r="E80" s="2" t="n">
        <v>1</v>
      </c>
      <c r="F80" s="2" t="inlineStr">
        <is>
          <t>adet</t>
        </is>
      </c>
      <c r="G80" s="3" t="n">
        <v>690</v>
      </c>
      <c r="H80" s="3">
        <f>IF(G80="","",E80*G80)</f>
        <v/>
      </c>
      <c r="I80" s="6" t="inlineStr">
        <is>
          <t>Motorobit</t>
        </is>
      </c>
      <c r="J80" s="8" t="inlineStr">
        <is>
          <t>https://www.motorobit.com/emi-filtre-6a-anahtarli-erkek-power-soketi-sigorta-yuvali</t>
        </is>
      </c>
      <c r="K80" s="6" t="inlineStr">
        <is>
          <t>Stokta (95)</t>
        </is>
      </c>
      <c r="L80" s="2" t="inlineStr">
        <is>
          <t>evet</t>
        </is>
      </c>
      <c r="M80" s="6" t="inlineStr"/>
    </row>
  </sheetData>
  <autoFilter ref="A1:M8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8" r:id="rId56"/>
    <hyperlink xmlns:r="http://schemas.openxmlformats.org/officeDocument/2006/relationships" ref="J59" r:id="rId57"/>
    <hyperlink xmlns:r="http://schemas.openxmlformats.org/officeDocument/2006/relationships" ref="J60" r:id="rId58"/>
    <hyperlink xmlns:r="http://schemas.openxmlformats.org/officeDocument/2006/relationships" ref="J61" r:id="rId59"/>
    <hyperlink xmlns:r="http://schemas.openxmlformats.org/officeDocument/2006/relationships" ref="J62" r:id="rId60"/>
    <hyperlink xmlns:r="http://schemas.openxmlformats.org/officeDocument/2006/relationships" ref="J63" r:id="rId61"/>
    <hyperlink xmlns:r="http://schemas.openxmlformats.org/officeDocument/2006/relationships" ref="J64" r:id="rId62"/>
    <hyperlink xmlns:r="http://schemas.openxmlformats.org/officeDocument/2006/relationships" ref="J65" r:id="rId63"/>
    <hyperlink xmlns:r="http://schemas.openxmlformats.org/officeDocument/2006/relationships" ref="J66" r:id="rId64"/>
    <hyperlink xmlns:r="http://schemas.openxmlformats.org/officeDocument/2006/relationships" ref="J67" r:id="rId65"/>
    <hyperlink xmlns:r="http://schemas.openxmlformats.org/officeDocument/2006/relationships" ref="J68" r:id="rId66"/>
    <hyperlink xmlns:r="http://schemas.openxmlformats.org/officeDocument/2006/relationships" ref="J69" r:id="rId67"/>
    <hyperlink xmlns:r="http://schemas.openxmlformats.org/officeDocument/2006/relationships" ref="J70" r:id="rId68"/>
    <hyperlink xmlns:r="http://schemas.openxmlformats.org/officeDocument/2006/relationships" ref="J71" r:id="rId69"/>
    <hyperlink xmlns:r="http://schemas.openxmlformats.org/officeDocument/2006/relationships" ref="J72" r:id="rId70"/>
    <hyperlink xmlns:r="http://schemas.openxmlformats.org/officeDocument/2006/relationships" ref="J73" r:id="rId71"/>
    <hyperlink xmlns:r="http://schemas.openxmlformats.org/officeDocument/2006/relationships" ref="J74" r:id="rId72"/>
    <hyperlink xmlns:r="http://schemas.openxmlformats.org/officeDocument/2006/relationships" ref="J75" r:id="rId73"/>
    <hyperlink xmlns:r="http://schemas.openxmlformats.org/officeDocument/2006/relationships" ref="J76" r:id="rId74"/>
    <hyperlink xmlns:r="http://schemas.openxmlformats.org/officeDocument/2006/relationships" ref="J77" r:id="rId75"/>
    <hyperlink xmlns:r="http://schemas.openxmlformats.org/officeDocument/2006/relationships" ref="J78" r:id="rId76"/>
    <hyperlink xmlns:r="http://schemas.openxmlformats.org/officeDocument/2006/relationships" ref="J79" r:id="rId77"/>
    <hyperlink xmlns:r="http://schemas.openxmlformats.org/officeDocument/2006/relationships" ref="J80" r:id="rId7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16" customWidth="1" min="4" max="4"/>
    <col width="16" customWidth="1" min="5" max="5"/>
    <col width="40" customWidth="1" min="6" max="6"/>
    <col width="16" customWidth="1" min="7" max="7"/>
    <col width="50" customWidth="1" min="8" max="8"/>
  </cols>
  <sheetData>
    <row r="1" ht="30" customHeight="1">
      <c r="A1" s="1" t="inlineStr">
        <is>
          <t>Modül</t>
        </is>
      </c>
      <c r="B1" s="1" t="inlineStr">
        <is>
          <t>Kalem</t>
        </is>
      </c>
      <c r="C1" s="1" t="inlineStr">
        <is>
          <t>Özellik</t>
        </is>
      </c>
      <c r="D1" s="1" t="inlineStr">
        <is>
          <t>Fiyat (TL, KDV dahil)</t>
        </is>
      </c>
      <c r="E1" s="1" t="inlineStr">
        <is>
          <t>Satıcı</t>
        </is>
      </c>
      <c r="F1" s="1" t="inlineStr">
        <is>
          <t>Link</t>
        </is>
      </c>
      <c r="G1" s="1" t="inlineStr">
        <is>
          <t>Stok</t>
        </is>
      </c>
      <c r="H1" s="1" t="inlineStr">
        <is>
          <t>Not</t>
        </is>
      </c>
    </row>
    <row r="2">
      <c r="A2" s="2" t="inlineStr">
        <is>
          <t>1 Pozlama</t>
        </is>
      </c>
      <c r="B2" s="6" t="inlineStr">
        <is>
          <t>Aptus 10.3" 8K mono LCD</t>
        </is>
      </c>
      <c r="C2" s="6" t="inlineStr">
        <is>
          <t>DBM103M8K01, 7680x4320, ~30 µm, ~228x128 mm (hesap), MIPI 50 pin</t>
        </is>
      </c>
      <c r="D2" s="3" t="n"/>
      <c r="E2" s="2" t="inlineStr">
        <is>
          <t>Aptus Display</t>
        </is>
      </c>
      <c r="F2" s="8" t="inlineStr">
        <is>
          <t>https://www.aptusdisplay.com/products/10-3-inch-8k-7680x4320-mipi-50pin-mono-lcd-screen</t>
        </is>
      </c>
      <c r="G2" s="2" t="inlineStr">
        <is>
          <t>Teklif</t>
        </is>
      </c>
      <c r="H2" s="6" t="inlineStr">
        <is>
          <t>Daha büyük kartlar (150x100 desen) gerekirse.</t>
        </is>
      </c>
    </row>
    <row r="3">
      <c r="A3" s="2" t="inlineStr">
        <is>
          <t>1 Pozlama</t>
        </is>
      </c>
      <c r="B3" s="6" t="inlineStr">
        <is>
          <t>Phrozen Sonic Mighty 4K LCD (yedek parça)</t>
        </is>
      </c>
      <c r="C3" s="6" t="inlineStr">
        <is>
          <t>9.3", 3840x2400, ~52 µm</t>
        </is>
      </c>
      <c r="D3" s="3" t="n">
        <v>11280</v>
      </c>
      <c r="E3" s="2" t="inlineStr">
        <is>
          <t>3Dream</t>
        </is>
      </c>
      <c r="F3" s="8" t="inlineStr">
        <is>
          <t>https://store.3dream.com.tr/products/phrozen-lcd-ekran</t>
        </is>
      </c>
      <c r="G3" s="2" t="inlineStr">
        <is>
          <t>Stokta</t>
        </is>
      </c>
      <c r="H3" s="6" t="inlineStr">
        <is>
          <t>Aptus numunesi gelene kadar deney için; ürüne girmez.</t>
        </is>
      </c>
    </row>
    <row r="4">
      <c r="A4" s="2" t="inlineStr">
        <is>
          <t>1 Pozlama</t>
        </is>
      </c>
      <c r="B4" s="6" t="inlineStr">
        <is>
          <t>Waveshare ESP32-P4-NANO</t>
        </is>
      </c>
      <c r="C4" s="6" t="inlineStr">
        <is>
          <t>MIPI-DSI 2 hat, 32 MB PSRAM</t>
        </is>
      </c>
      <c r="D4" s="3" t="n">
        <v>2400</v>
      </c>
      <c r="E4" s="2" t="inlineStr">
        <is>
          <t>Motorobit</t>
        </is>
      </c>
      <c r="F4" s="8" t="inlineStr">
        <is>
          <t>https://www.motorobit.com/esp32-p4-nano-yuksek-performansli-gelistirme-karti</t>
        </is>
      </c>
      <c r="G4" s="2" t="inlineStr">
        <is>
          <t>Stokta</t>
        </is>
      </c>
      <c r="H4" s="6" t="inlineStr">
        <is>
          <t>Aptus panelleri (8K / çift MIPI) için yetersiz; HDMI kartı + Raspberry Pi yolu seçildi.</t>
        </is>
      </c>
    </row>
    <row r="5">
      <c r="A5" s="2" t="inlineStr">
        <is>
          <t>1 Pozlama</t>
        </is>
      </c>
      <c r="B5" s="6" t="inlineStr">
        <is>
          <t>Raspberry Pi CM5 2 GB / 16 GB + IO Board</t>
        </is>
      </c>
      <c r="C5" s="6" t="inlineStr">
        <is>
          <t>Ürün için gömülü HDMI kaynağı</t>
        </is>
      </c>
      <c r="D5" s="3" t="n">
        <v>7488.84</v>
      </c>
      <c r="E5" s="2" t="inlineStr">
        <is>
          <t>Robotistan</t>
        </is>
      </c>
      <c r="F5" s="8" t="inlineStr">
        <is>
          <t>https://www.robotistan.com/raspberry-pi-compute-module-cm5002016</t>
        </is>
      </c>
      <c r="G5" s="2" t="inlineStr">
        <is>
          <t>Stokta</t>
        </is>
      </c>
      <c r="H5" s="6" t="inlineStr">
        <is>
          <t>CM5 6.228,05 + IO Board 1.260,79 (https://www.robotistan.com/raspberry-pi-compute-module-5-ioboard).</t>
        </is>
      </c>
    </row>
    <row r="6">
      <c r="A6" s="2" t="inlineStr">
        <is>
          <t>1 Pozlama</t>
        </is>
      </c>
      <c r="B6" s="6" t="inlineStr">
        <is>
          <t>Soğutucu + fan 80x80x54</t>
        </is>
      </c>
      <c r="C6" s="6" t="inlineStr">
        <is>
          <t>İşlemci soğutucusu, 12 V fan</t>
        </is>
      </c>
      <c r="D6" s="3" t="n">
        <v>390</v>
      </c>
      <c r="E6" s="2" t="inlineStr">
        <is>
          <t>Motorobit</t>
        </is>
      </c>
      <c r="F6" s="8" t="inlineStr">
        <is>
          <t>https://www.motorobit.com/80x80x54mm-sogutuculu-fan-islemci-fani</t>
        </is>
      </c>
      <c r="G6" s="2" t="inlineStr">
        <is>
          <t>Stokta</t>
        </is>
      </c>
      <c r="H6" s="6" t="inlineStr">
        <is>
          <t>COB seti yerine alternatif.</t>
        </is>
      </c>
    </row>
    <row r="7">
      <c r="A7" s="2" t="inlineStr">
        <is>
          <t>2 CNC portal</t>
        </is>
      </c>
      <c r="B7" s="6" t="inlineStr">
        <is>
          <t>Hazır CNC3018 kit (lazerli)</t>
        </is>
      </c>
      <c r="C7" s="6" t="inlineStr">
        <is>
          <t>300x180x45 mm, 775 mil (ER11 değil), düz mil + T-vida, GRBL</t>
        </is>
      </c>
      <c r="D7" s="3" t="n">
        <v>26700</v>
      </c>
      <c r="E7" s="2" t="inlineStr">
        <is>
          <t>Motorobit</t>
        </is>
      </c>
      <c r="F7" s="8" t="inlineStr">
        <is>
          <t>https://www.motorobit.com/cnc3018-15000mw-lazerli-cnc-makinesi-kesim-tezga</t>
        </is>
      </c>
      <c r="G7" s="2" t="inlineStr">
        <is>
          <t>Stokta (8)</t>
        </is>
      </c>
      <c r="H7" s="6" t="inlineStr">
        <is>
          <t>v0 hızlı deneme. ±0,1 mm: ±0,02 hedefini tutmaz. Aynı kit Robotistan 28.307,95 TL.</t>
        </is>
      </c>
    </row>
    <row r="8">
      <c r="A8" s="2" t="inlineStr">
        <is>
          <t>2 CNC portal</t>
        </is>
      </c>
      <c r="B8" s="6" t="inlineStr">
        <is>
          <t>Hazır CNC3018 PRO MAX</t>
        </is>
      </c>
      <c r="C8" s="6" t="inlineStr">
        <is>
          <t>500 W φ52 mil 48 V, limit switch + Z probu + acil stop dahil</t>
        </is>
      </c>
      <c r="D8" s="3" t="n">
        <v>50100</v>
      </c>
      <c r="E8" s="2" t="inlineStr">
        <is>
          <t>Motorobit</t>
        </is>
      </c>
      <c r="F8" s="8" t="inlineStr">
        <is>
          <t>https://www.motorobit.com/cnc3018-pro-max-15000mw-lazerli-cnc-makinesi-kesim-tezgahi</t>
        </is>
      </c>
      <c r="G8" s="2" t="inlineStr">
        <is>
          <t>Stokta (5)</t>
        </is>
      </c>
      <c r="H8" s="6" t="inlineStr">
        <is>
          <t>v0 için daha uygun kit; sürücüler A4988, T-vida.</t>
        </is>
      </c>
    </row>
    <row r="9">
      <c r="A9" s="2" t="inlineStr">
        <is>
          <t>2 CNC portal</t>
        </is>
      </c>
      <c r="B9" s="6" t="inlineStr">
        <is>
          <t>Hazır DRNC 3025</t>
        </is>
      </c>
      <c r="C9" s="6" t="inlineStr">
        <is>
          <t>30x25 cm, bilyalı vida + 15 mm ray, 600 W ER11 mil</t>
        </is>
      </c>
      <c r="D9" s="3" t="n">
        <v>104611.61</v>
      </c>
      <c r="E9" s="2" t="inlineStr">
        <is>
          <t>Direnc.net</t>
        </is>
      </c>
      <c r="F9" s="8" t="inlineStr">
        <is>
          <t>https://www.direnc.net/drnc-3025-masaustu-cnc-ve-lazer-makinesi</t>
        </is>
      </c>
      <c r="G9" s="2" t="inlineStr">
        <is>
          <t>Stokta (1)</t>
        </is>
      </c>
      <c r="H9" s="6" t="inlineStr">
        <is>
          <t>Hedef mimariye en yakın hazır makine.</t>
        </is>
      </c>
    </row>
    <row r="10">
      <c r="A10" s="2" t="inlineStr">
        <is>
          <t>2 CNC portal</t>
        </is>
      </c>
      <c r="B10" s="6" t="inlineStr">
        <is>
          <t>CNC3018 lazersiz (en ucuz)</t>
        </is>
      </c>
      <c r="C10" s="6" t="inlineStr">
        <is>
          <t>Temel 3018</t>
        </is>
      </c>
      <c r="D10" s="3" t="n">
        <v>9899.860000000001</v>
      </c>
      <c r="E10" s="2" t="inlineStr">
        <is>
          <t>Robotistan</t>
        </is>
      </c>
      <c r="F10" s="8" t="inlineStr">
        <is>
          <t>https://www.robotistan.com/cnc3018-masaustu-cnc-makinesi</t>
        </is>
      </c>
      <c r="G10" s="2" t="inlineStr">
        <is>
          <t>Stokta yok</t>
        </is>
      </c>
      <c r="H10" s="6" t="inlineStr"/>
    </row>
    <row r="11">
      <c r="A11" s="2" t="inlineStr">
        <is>
          <t>2 CNC portal</t>
        </is>
      </c>
      <c r="B11" s="6" t="inlineStr">
        <is>
          <t>MGN12 ray + MGN12H</t>
        </is>
      </c>
      <c r="C11" s="6" t="inlineStr">
        <is>
          <t>400 mm set</t>
        </is>
      </c>
      <c r="D11" s="3" t="n">
        <v>1080</v>
      </c>
      <c r="E11" s="2" t="inlineStr">
        <is>
          <t>Motorobit</t>
        </is>
      </c>
      <c r="F11" s="8" t="inlineStr">
        <is>
          <t>https://www.motorobit.com/mgn12-lineer-ray-kizak-400mm-mgn12h-bilyali-rulm</t>
        </is>
      </c>
      <c r="G11" s="2" t="inlineStr">
        <is>
          <t>Stokta (14)</t>
        </is>
      </c>
      <c r="H11" s="6" t="inlineStr">
        <is>
          <t>HGR15 yerine hafif seçenek.</t>
        </is>
      </c>
    </row>
    <row r="12">
      <c r="A12" s="2" t="inlineStr">
        <is>
          <t>2 CNC portal</t>
        </is>
      </c>
      <c r="B12" s="6" t="inlineStr">
        <is>
          <t>SFU1605 vidalı mil</t>
        </is>
      </c>
      <c r="C12" s="6" t="inlineStr">
        <is>
          <t>SCR1605, metre fiyatı, uç işleme yok</t>
        </is>
      </c>
      <c r="D12" s="3" t="n">
        <v>1575.35</v>
      </c>
      <c r="E12" s="2" t="inlineStr">
        <is>
          <t>cnc-marketi</t>
        </is>
      </c>
      <c r="F12" s="8" t="inlineStr">
        <is>
          <t>https://www.cnc-marketi.com/urun/vidali-mil-1605-vidali-mil</t>
        </is>
      </c>
      <c r="G12" s="2" t="inlineStr">
        <is>
          <t>Stokta (267 m)</t>
        </is>
      </c>
      <c r="H12" s="6" t="inlineStr">
        <is>
          <t>Somun ayrı 573,02 TL (stokta yok).</t>
        </is>
      </c>
    </row>
    <row r="13">
      <c r="A13" s="2" t="inlineStr">
        <is>
          <t>2 CNC portal</t>
        </is>
      </c>
      <c r="B13" s="6" t="inlineStr">
        <is>
          <t>TMC2209 V2.0</t>
        </is>
      </c>
      <c r="C13" s="6" t="inlineStr">
        <is>
          <t>1,7 A RMS, 4,75–29 V</t>
        </is>
      </c>
      <c r="D13" s="3" t="n">
        <v>390</v>
      </c>
      <c r="E13" s="2" t="inlineStr">
        <is>
          <t>Motorobit</t>
        </is>
      </c>
      <c r="F13" s="8" t="inlineStr">
        <is>
          <t>https://www.motorobit.com/tmc2209-v20-step-motor-surucusu</t>
        </is>
      </c>
      <c r="G13" s="2" t="inlineStr">
        <is>
          <t>Stokta (25)</t>
        </is>
      </c>
      <c r="H13" s="6" t="inlineStr">
        <is>
          <t>TMC5160 yerine ucuz (3 adette ~3.650 TL düşer).</t>
        </is>
      </c>
    </row>
    <row r="14">
      <c r="A14" s="2" t="inlineStr">
        <is>
          <t>1 Pozlama</t>
        </is>
      </c>
      <c r="B14" s="6" t="inlineStr">
        <is>
          <t>Elegoo Saturn 2 / 8K LCD</t>
        </is>
      </c>
      <c r="C14" s="6" t="inlineStr">
        <is>
          <t>10", 7680x4320, ~28,5 µm</t>
        </is>
      </c>
      <c r="D14" s="3" t="n">
        <v>4700</v>
      </c>
      <c r="E14" s="2" t="inlineStr">
        <is>
          <t>3Dream</t>
        </is>
      </c>
      <c r="F14" s="8" t="inlineStr">
        <is>
          <t>https://store.3dream.com.tr/products/elegoo-lcd-ekran-saturn-8k-10-8k-saturn-2</t>
        </is>
      </c>
      <c r="G14" s="2" t="inlineStr">
        <is>
          <t>Stokta</t>
        </is>
      </c>
      <c r="H14" s="6" t="inlineStr">
        <is>
          <t>150x100'ü kapsayan en ucuz mono LCD; ESP32-P4 ile sürmek zor.</t>
        </is>
      </c>
    </row>
    <row r="15">
      <c r="A15" s="2" t="inlineStr">
        <is>
          <t>1 Pozlama</t>
        </is>
      </c>
      <c r="B15" s="6" t="inlineStr">
        <is>
          <t>Anycubic M7 Pro anakartı</t>
        </is>
      </c>
      <c r="C15" s="6" t="inlineStr">
        <is>
          <t>Yazıcının kendi LCD/ışık denetleyicisi</t>
        </is>
      </c>
      <c r="D15" s="3" t="n">
        <v>7050</v>
      </c>
      <c r="E15" s="2" t="inlineStr">
        <is>
          <t>3Dream</t>
        </is>
      </c>
      <c r="F15" s="8" t="inlineStr">
        <is>
          <t>https://store.3dream.com.tr/collections/yedek-parca-anycubic</t>
        </is>
      </c>
      <c r="G15" s="2" t="inlineStr">
        <is>
          <t>Stokta</t>
        </is>
      </c>
      <c r="H15" s="6" t="inlineStr">
        <is>
          <t>İlk deneyde M7 Pro LCD + ışık + Fresnel'i kendi kartıyla sürme yolu (kapalı yazılım, yalnız deney).</t>
        </is>
      </c>
    </row>
    <row r="16">
      <c r="A16" s="2" t="inlineStr">
        <is>
          <t>1 Pozlama</t>
        </is>
      </c>
      <c r="B16" s="6" t="inlineStr">
        <is>
          <t>Waveshare ESP32-P4-Pico</t>
        </is>
      </c>
      <c r="C16" s="6" t="inlineStr">
        <is>
          <t>32 MB PSRAM, MIPI DSI/CSI</t>
        </is>
      </c>
      <c r="D16" s="3" t="n">
        <v>1646.73</v>
      </c>
      <c r="E16" s="2" t="inlineStr">
        <is>
          <t>Robotistan</t>
        </is>
      </c>
      <c r="F16" s="8" t="inlineStr">
        <is>
          <t>https://www.robotistan.com/waveshare-esp32p4pico-riscv-gelistirme-karti</t>
        </is>
      </c>
      <c r="G16" s="2" t="inlineStr">
        <is>
          <t>Stokta</t>
        </is>
      </c>
      <c r="H16" s="6" t="inlineStr"/>
    </row>
    <row r="17">
      <c r="A17" s="2" t="inlineStr">
        <is>
          <t>1 Pozlama</t>
        </is>
      </c>
      <c r="B17" s="6" t="inlineStr">
        <is>
          <t>3 W UV power LED</t>
        </is>
      </c>
      <c r="C17" s="6" t="inlineStr">
        <is>
          <t>395–400 nm, 600–700 mA</t>
        </is>
      </c>
      <c r="D17" s="3" t="n">
        <v>87.95</v>
      </c>
      <c r="E17" s="2" t="inlineStr">
        <is>
          <t>Roboshop</t>
        </is>
      </c>
      <c r="F17" s="8" t="inlineStr">
        <is>
          <t>https://www.roboshop.com.tr/3w-power-led-uv-mor-395-400nm</t>
        </is>
      </c>
      <c r="G17" s="2" t="inlineStr">
        <is>
          <t>Stokta</t>
        </is>
      </c>
      <c r="H17" s="6" t="inlineStr">
        <is>
          <t>Kendin-yap dizi (10–16 adet). 405 değil ama Positiv 20 için uygun.</t>
        </is>
      </c>
    </row>
    <row r="18">
      <c r="A18" s="2" t="inlineStr">
        <is>
          <t>4 Hot plate</t>
        </is>
      </c>
      <c r="B18" s="6" t="inlineStr">
        <is>
          <t>Hazır ön ısıtıcı Sunline 958</t>
        </is>
      </c>
      <c r="C18" s="6" t="inlineStr">
        <is>
          <t>130x130 mm, 600 W, 50–400 °C</t>
        </is>
      </c>
      <c r="D18" s="3" t="n">
        <v>13145.64</v>
      </c>
      <c r="E18" s="2" t="inlineStr">
        <is>
          <t>Robotistan</t>
        </is>
      </c>
      <c r="F18" s="8" t="inlineStr">
        <is>
          <t>https://www.robotistan.com/sunline-958-havya-istasyonu</t>
        </is>
      </c>
      <c r="G18" s="2" t="inlineStr">
        <is>
          <t>Stokta (5)</t>
        </is>
      </c>
      <c r="H18" s="6" t="inlineStr">
        <is>
          <t>150x100 kart 20 mm taşar. Direnc 13.521,05 TL.</t>
        </is>
      </c>
    </row>
    <row r="19">
      <c r="A19" s="2" t="inlineStr">
        <is>
          <t>4 Hot plate</t>
        </is>
      </c>
      <c r="B19" s="6" t="inlineStr">
        <is>
          <t>Nofaner 200x200 hot plate</t>
        </is>
      </c>
      <c r="C19" s="6" t="inlineStr">
        <is>
          <t>220 V, dijital</t>
        </is>
      </c>
      <c r="D19" s="3" t="n"/>
      <c r="E19" s="2" t="inlineStr">
        <is>
          <t>Amazon.com.tr</t>
        </is>
      </c>
      <c r="F19" s="8" t="inlineStr">
        <is>
          <t>https://www.amazon.com.tr/Nofaner-istasyonu-elektrikli-lehimleme-d%C3%BCzenlemesi/dp/B0B7BG89KB</t>
        </is>
      </c>
      <c r="G19" s="2" t="inlineStr">
        <is>
          <t>?</t>
        </is>
      </c>
      <c r="H19" s="6" t="inlineStr">
        <is>
          <t>TR'de bulunan tek 200x200; doğrulanamadı.</t>
        </is>
      </c>
    </row>
    <row r="20">
      <c r="A20" s="2" t="inlineStr">
        <is>
          <t>3 Islak istasyon</t>
        </is>
      </c>
      <c r="B20" s="6" t="inlineStr">
        <is>
          <t>Perklorür (FeCl3) sıvı</t>
        </is>
      </c>
      <c r="C20" s="6" t="inlineStr">
        <is>
          <t>1 kg</t>
        </is>
      </c>
      <c r="D20" s="3" t="n">
        <v>125</v>
      </c>
      <c r="E20" s="2" t="inlineStr">
        <is>
          <t>Kimyacınız</t>
        </is>
      </c>
      <c r="F20" s="8" t="inlineStr">
        <is>
          <t>https://www.kimyaciniz.com/demir-3-klorur-sivi-1-kg</t>
        </is>
      </c>
      <c r="G20" s="2" t="inlineStr">
        <is>
          <t>Stokta</t>
        </is>
      </c>
      <c r="H20" s="6" t="inlineStr">
        <is>
          <t>Kupri klorür yerine tek kullanımlık aşındırıcı.</t>
        </is>
      </c>
    </row>
    <row r="21">
      <c r="A21" s="2" t="inlineStr">
        <is>
          <t>3 Islak istasyon</t>
        </is>
      </c>
      <c r="B21" s="6" t="inlineStr">
        <is>
          <t>Sodyum persülfat</t>
        </is>
      </c>
      <c r="C21" s="6" t="inlineStr">
        <is>
          <t>1 kg</t>
        </is>
      </c>
      <c r="D21" s="3" t="n">
        <v>584.67</v>
      </c>
      <c r="E21" s="2" t="inlineStr">
        <is>
          <t>Kimya Depom</t>
        </is>
      </c>
      <c r="F21" s="8" t="inlineStr">
        <is>
          <t>https://www.kimyadepom.com/urun/sodyum-persulfat-25-kg-torba</t>
        </is>
      </c>
      <c r="G21" s="2" t="inlineStr">
        <is>
          <t>Sipariş verilebilir</t>
        </is>
      </c>
      <c r="H21" s="6" t="inlineStr">
        <is>
          <t>Temiz, şeffaf aşındırıcı.</t>
        </is>
      </c>
    </row>
    <row r="22">
      <c r="A22" s="2" t="inlineStr">
        <is>
          <t>3 Islak istasyon</t>
        </is>
      </c>
      <c r="B22" s="6" t="inlineStr">
        <is>
          <t>ISOLAB ORP probu</t>
        </is>
      </c>
      <c r="C22" s="6" t="inlineStr">
        <is>
          <t>Ölçüm cihazları için</t>
        </is>
      </c>
      <c r="D22" s="3" t="n">
        <v>7225.44</v>
      </c>
      <c r="E22" s="2" t="inlineStr">
        <is>
          <t>Interlab</t>
        </is>
      </c>
      <c r="F22" s="8" t="inlineStr">
        <is>
          <t>https://shop.interlab.com.tr/urun/orp-probu-olcum-cihazlari-icin</t>
        </is>
      </c>
      <c r="G22" s="2" t="inlineStr">
        <is>
          <t>?</t>
        </is>
      </c>
      <c r="H22" s="6" t="inlineStr">
        <is>
          <t>SEKO'dan ucuz.</t>
        </is>
      </c>
    </row>
    <row r="23">
      <c r="A23" s="2" t="inlineStr">
        <is>
          <t>3 Islak istasyon</t>
        </is>
      </c>
      <c r="B23" s="6" t="inlineStr">
        <is>
          <t>UV lehim maskesi (yeşil)</t>
        </is>
      </c>
      <c r="C23" s="6" t="inlineStr">
        <is>
          <t>Mechanic MT-UVH900, 10 cc</t>
        </is>
      </c>
      <c r="D23" s="3" t="n"/>
      <c r="E23" s="2" t="inlineStr">
        <is>
          <t>Hepsiburada</t>
        </is>
      </c>
      <c r="F23" s="8" t="inlineStr">
        <is>
          <t>https://www.hepsiburada.com/mechanic-mt-uvh900-ly-uv-isikla-sertlesen-solder-mask-devre-yalitim-boyasi-lehim-maskesi-10cc-yesil-pm-HBC0000FVNW47</t>
        </is>
      </c>
      <c r="G23" s="2" t="inlineStr">
        <is>
          <t>?</t>
        </is>
      </c>
      <c r="H23" s="6" t="inlineStr">
        <is>
          <t>v2 lehim maskesi pozlaması için.</t>
        </is>
      </c>
    </row>
    <row r="24">
      <c r="A24" s="2" t="inlineStr">
        <is>
          <t>3 Islak istasyon</t>
        </is>
      </c>
      <c r="B24" s="6" t="inlineStr">
        <is>
          <t>Dry film (negatif)</t>
        </is>
      </c>
      <c r="C24" s="6" t="inlineStr">
        <is>
          <t>30 cm x 5 m</t>
        </is>
      </c>
      <c r="D24" s="3" t="n"/>
      <c r="E24" s="2" t="inlineStr">
        <is>
          <t>n11</t>
        </is>
      </c>
      <c r="F24" s="8" t="inlineStr">
        <is>
          <t>https://www.n11.com/urun/devre-uretim-icin-kuru-film-fotoresist-carsaf-duzleme-islemi-30cm-x-5m-pcb-podiksiyatler-kuru-film-dogruluk-deneyimli-film-79346576</t>
        </is>
      </c>
      <c r="G24" s="2" t="inlineStr">
        <is>
          <t>?</t>
        </is>
      </c>
      <c r="H24" s="6" t="inlineStr">
        <is>
          <t>Arama özetinde ~1.191 TL; çoğu yurt dışından.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6" customWidth="1" min="3" max="3"/>
    <col width="60" customWidth="1" min="4" max="4"/>
  </cols>
  <sheetData>
    <row r="1" ht="30" customHeight="1">
      <c r="A1" s="1" t="inlineStr">
        <is>
          <t>Modül</t>
        </is>
      </c>
      <c r="B1" s="1" t="inlineStr">
        <is>
          <t>Kalem</t>
        </is>
      </c>
      <c r="C1" s="1" t="inlineStr">
        <is>
          <t>Ne için</t>
        </is>
      </c>
      <c r="D1" s="1" t="inlineStr">
        <is>
          <t>Nereden</t>
        </is>
      </c>
    </row>
    <row r="2">
      <c r="A2" s="2" t="inlineStr">
        <is>
          <t>1 Pozlama</t>
        </is>
      </c>
      <c r="B2" s="6" t="inlineStr">
        <is>
          <t>Aptus 6.6" 4K mono LCD + HDMI→MIPI kartı</t>
        </is>
      </c>
      <c r="C2" s="6" t="inlineStr">
        <is>
          <t>Ürün paneli (numune 2 adet).</t>
        </is>
      </c>
      <c r="D2" s="6" t="inlineStr">
        <is>
          <t>Aptus Display, Shenzhen: info@aptusdisplay.com (teklif/numune).</t>
        </is>
      </c>
    </row>
    <row r="3">
      <c r="A3" s="2" t="inlineStr">
        <is>
          <t>1 Pozlama</t>
        </is>
      </c>
      <c r="B3" s="6" t="inlineStr">
        <is>
          <t>HDMI sürücü kartlı mono LCD kiti (2K/4K)</t>
        </is>
      </c>
      <c r="C3" s="6" t="inlineStr">
        <is>
          <t>İlk ışık motoru deneyi; panel arayüzünü çözmeden pozlama.</t>
        </is>
      </c>
      <c r="D3" s="6" t="inlineStr">
        <is>
          <t>AliExpress: "mono LCD 4K HDMI driver board" (mono olduğunu kontrol et, çoğu ilan RGB).</t>
        </is>
      </c>
    </row>
    <row r="4">
      <c r="A4" s="2" t="inlineStr">
        <is>
          <t>1 Pozlama</t>
        </is>
      </c>
      <c r="B4" s="6" t="inlineStr">
        <is>
          <t>405 nm COB LED 10–50 W</t>
        </is>
      </c>
      <c r="C4" s="6" t="inlineStr">
        <is>
          <t>Kendi ışık motoru tasarımı.</t>
        </is>
      </c>
      <c r="D4" s="6" t="inlineStr">
        <is>
          <t>AliExpress / LED üreticisi; TR'de yalnız 395–400 nm 3 W LED var.</t>
        </is>
      </c>
    </row>
    <row r="5">
      <c r="A5" s="2" t="inlineStr">
        <is>
          <t>1 Pozlama</t>
        </is>
      </c>
      <c r="B5" s="6" t="inlineStr">
        <is>
          <t>Mean Well LDD-1000H / LDD-1500H</t>
        </is>
      </c>
      <c r="C5" s="6" t="inlineStr">
        <is>
          <t>PWM ile kısılabilir sabit akım LED sürücü (ürün sınıfı).</t>
        </is>
      </c>
      <c r="D5" s="6" t="inlineStr">
        <is>
          <t>Mouser / Digikey / AliExpress.</t>
        </is>
      </c>
    </row>
    <row r="6">
      <c r="A6" s="2" t="inlineStr">
        <is>
          <t>1 Pozlama</t>
        </is>
      </c>
      <c r="B6" s="6" t="inlineStr">
        <is>
          <t>UV engelleyici turuncu akrilik / reçine yazıcı kapağı</t>
        </is>
      </c>
      <c r="C6" s="6" t="inlineStr">
        <is>
          <t>Kabin penceresi, 405 nm kesmesi garanti.</t>
        </is>
      </c>
      <c r="D6" s="6" t="inlineStr">
        <is>
          <t>AliExpress / yazıcı yedek parçası.</t>
        </is>
      </c>
    </row>
    <row r="7">
      <c r="A7" s="2" t="inlineStr">
        <is>
          <t>3 Islak istasyon</t>
        </is>
      </c>
      <c r="B7" s="6" t="inlineStr">
        <is>
          <t>DFRobot Gravity SEN0165 ORP kartı</t>
        </is>
      </c>
      <c r="C7" s="6" t="inlineStr">
        <is>
          <t>Hazır ORP yükselticisi (±2000 mV).</t>
        </is>
      </c>
      <c r="D7" s="6" t="inlineStr">
        <is>
          <t>AB ~€98 (opencircuit.shop) ya da DFRobot; TR alternatifi ADS1115 + op-amp.</t>
        </is>
      </c>
    </row>
    <row r="8">
      <c r="A8" s="2" t="inlineStr">
        <is>
          <t>3 Islak istasyon</t>
        </is>
      </c>
      <c r="B8" s="6" t="inlineStr">
        <is>
          <t>Küçük titanyum / PTFE ısıtıcı</t>
        </is>
      </c>
      <c r="C8" s="6" t="inlineStr">
        <is>
          <t>Asitte güvenli 50–100 W ısıtıcı.</t>
        </is>
      </c>
      <c r="D8" s="6" t="inlineStr">
        <is>
          <t>AliExpress; ya da yerli rezistans üreticisinden teklif (aliserezistans, isielektrik).</t>
        </is>
      </c>
    </row>
    <row r="9">
      <c r="A9" s="2" t="inlineStr">
        <is>
          <t>2 CNC portal</t>
        </is>
      </c>
      <c r="B9" s="6" t="inlineStr">
        <is>
          <t>Ön yüklü çift somun ya da C5 taşlanmış bilyalı vida</t>
        </is>
      </c>
      <c r="C9" s="6" t="inlineStr">
        <is>
          <t>±0,02 mm tekrarlanabilirlik.</t>
        </is>
      </c>
      <c r="D9" s="6" t="inlineStr">
        <is>
          <t>Önce Mermak / Rulmansepetim'e sor; yoksa Hiwin/TBI distribütörü.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0" customWidth="1" min="2" max="2"/>
  </cols>
  <sheetData>
    <row r="1" ht="30" customHeight="1">
      <c r="A1" s="1" t="inlineStr">
        <is>
          <t>#</t>
        </is>
      </c>
      <c r="B1" s="1" t="inlineStr">
        <is>
          <t>Uyarı</t>
        </is>
      </c>
    </row>
    <row r="2">
      <c r="A2" s="2" t="n">
        <v>1</v>
      </c>
      <c r="B2" s="6" t="inlineStr">
        <is>
          <t>Fiyatlar 2026-10-04'te görülen KDV dahil TL fiyatlarıdır; stok ve fiyat her gün değişir. USD bazlı satıcılar (Rulmansepetim, Meon, cnc-marketi) kurla oynar.</t>
        </is>
      </c>
    </row>
    <row r="3">
      <c r="A3" s="2" t="n">
        <v>2</v>
      </c>
      <c r="B3" s="6" t="inlineStr">
        <is>
          <t>Doğrulandı = "hayır" satırları (Hepsiburada, Trendyol, n11, Amazon.com.tr, Akakçe, Koçtaş vb.) yalnız arama özetinden; siparişten önce sayfada kontrol et.</t>
        </is>
      </c>
    </row>
    <row r="4">
      <c r="A4" s="2" t="n">
        <v>3</v>
      </c>
      <c r="B4" s="6" t="inlineStr">
        <is>
          <t>Fiyatı boş satırlar toplamda yok sayılır (Özet sayfasında sayısı yazar): ısıtıcı plaka, konum pimleri, turuncu akrilik, atık bidonu.</t>
        </is>
      </c>
    </row>
    <row r="5">
      <c r="A5" s="2" t="n">
        <v>4</v>
      </c>
      <c r="B5" s="6" t="inlineStr">
        <is>
          <t>Kargo, gümrük, cıvata/somun, alüminyum plakalar, 3D baskı parçalar ve PCB'ler dahil değil.</t>
        </is>
      </c>
    </row>
    <row r="6">
      <c r="A6" s="2" t="n">
        <v>5</v>
      </c>
      <c r="B6" s="6" t="inlineStr">
        <is>
          <t>Kimyasallar: bazı satıcılar şahıslara satmıyor (Rokim/laboratuvar siteleri, Kimyacınız aseton), Kimyacınız HCl'yi kargolamıyor. H2O2 ADR 5.1, HCl ADR 8: kargo reddedebilir. Ticari aşamada şirket faturasıyla al.</t>
        </is>
      </c>
    </row>
    <row r="7">
      <c r="A7" s="2" t="n">
        <v>6</v>
      </c>
      <c r="B7" s="6" t="inlineStr">
        <is>
          <t>Mono LCD: Aptus (üretici) panelleri HDMI→MIPI kartıyla Raspberry Pi'den sürülür; ESP32-P4 bu panellere yetmez (8K veri hızı, çift MIPI). Fiyat/MOQ/datasheet Aptus teklifiyle netleşir; teklif gelene kadar pozlama toplamı eksik.</t>
        </is>
      </c>
    </row>
    <row r="8">
      <c r="A8" s="2" t="n">
        <v>7</v>
      </c>
      <c r="B8" s="6" t="inlineStr">
        <is>
          <t>CNC: hazır 3018 kitleri ±0,1 mm; hedef ±0,02 mm için ray + bilyalı vida (bu BOM) ve düşük salgılı mil gerekir. Kitlerle gelen GRBL GPL lisanslı: ürüne girmez.</t>
        </is>
      </c>
    </row>
    <row r="9">
      <c r="A9" s="2" t="n">
        <v>8</v>
      </c>
      <c r="B9" s="6" t="inlineStr">
        <is>
          <t>Akvaryum ısıtıcı termostatı ~32–34 °C'de keser; 40–50 °C aşındırma için ESP32 + SSR ile sür ve aşırı sıcaklık kesicisi ekle.</t>
        </is>
      </c>
    </row>
    <row r="10">
      <c r="A10" s="2" t="n">
        <v>9</v>
      </c>
      <c r="B10" s="6" t="inlineStr">
        <is>
          <t>Bakırlı atık kanalizasyona dökülmez. HCl buharı metalleri paslandırır: ıslak istasyon CNC ve elektronikten ayrı, havalandırmalı kabinde.</t>
        </is>
      </c>
    </row>
    <row r="11">
      <c r="A11" s="2" t="n">
        <v>10</v>
      </c>
      <c r="B11" s="6" t="inlineStr">
        <is>
          <t>Robotistan sayfalarında gizli "Tükendi" etiketi var; stok, sayfanın ürün verisinden (stok adedi) okundu.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2026-10-04T18:51:28Z</dcterms:created>
  <dcterms:modified xsi:type="dcterms:W3CDTF">2026-10-04T18:51:28Z</dcterms:modified>
</cp:coreProperties>
</file>